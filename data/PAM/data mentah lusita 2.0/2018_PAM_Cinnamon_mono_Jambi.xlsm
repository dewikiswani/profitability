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CGIAR\ICRAF\Project\2018_Project\IDH-Jambi\Analisis\NPV_Jambi_GGP_2018_Olddata\GGP_2018\"/>
    </mc:Choice>
  </mc:AlternateContent>
  <bookViews>
    <workbookView xWindow="9600" yWindow="-12" windowWidth="5796" windowHeight="7320" tabRatio="897" xr2:uid="{00000000-000D-0000-FFFF-FFFF00000000}"/>
  </bookViews>
  <sheets>
    <sheet name="Summary" sheetId="14" r:id="rId1"/>
    <sheet name="Prices" sheetId="4" r:id="rId2"/>
    <sheet name="IO_CinnCoff" sheetId="21" r:id="rId3"/>
    <sheet name="FB_CinCoff" sheetId="22" r:id="rId4"/>
  </sheets>
  <definedNames>
    <definedName name="nilai_tukar">Summary!$C$7</definedName>
    <definedName name="rate_private">Summary!$C$6</definedName>
    <definedName name="rate_social">Summary!$D$7</definedName>
  </definedNames>
  <calcPr calcId="171027"/>
</workbook>
</file>

<file path=xl/calcChain.xml><?xml version="1.0" encoding="utf-8"?>
<calcChain xmlns="http://schemas.openxmlformats.org/spreadsheetml/2006/main">
  <c r="K100" i="21" l="1"/>
  <c r="E81" i="22"/>
  <c r="F81" i="22"/>
  <c r="G81" i="22"/>
  <c r="H81" i="22"/>
  <c r="AE81" i="22"/>
  <c r="AF81" i="22"/>
  <c r="E82" i="22"/>
  <c r="F82" i="22"/>
  <c r="G82" i="22"/>
  <c r="H82" i="22"/>
  <c r="AE82" i="22"/>
  <c r="AF82" i="22"/>
  <c r="E83" i="22"/>
  <c r="F83" i="22"/>
  <c r="G83" i="22"/>
  <c r="H83" i="22"/>
  <c r="AE83" i="22"/>
  <c r="AF83" i="22"/>
  <c r="E92" i="22"/>
  <c r="F92" i="22"/>
  <c r="G92" i="22"/>
  <c r="H92" i="22"/>
  <c r="I92" i="22"/>
  <c r="J92" i="22"/>
  <c r="K92" i="22"/>
  <c r="L92" i="22"/>
  <c r="M92" i="22"/>
  <c r="N92" i="22"/>
  <c r="O92" i="22"/>
  <c r="P92" i="22"/>
  <c r="Q92" i="22"/>
  <c r="R92" i="22"/>
  <c r="S92" i="22"/>
  <c r="T92" i="22"/>
  <c r="U92" i="22"/>
  <c r="V92" i="22"/>
  <c r="W92" i="22"/>
  <c r="X92" i="22"/>
  <c r="Y92" i="22"/>
  <c r="Z92" i="22"/>
  <c r="AA92" i="22"/>
  <c r="AB92" i="22"/>
  <c r="AC92" i="22"/>
  <c r="AD92" i="22"/>
  <c r="AE92" i="22"/>
  <c r="AF92" i="22"/>
  <c r="AG92" i="22"/>
  <c r="E93" i="22"/>
  <c r="F93" i="22"/>
  <c r="G93" i="22"/>
  <c r="H93" i="22"/>
  <c r="I93" i="22"/>
  <c r="J93" i="22"/>
  <c r="K93" i="22"/>
  <c r="L93" i="22"/>
  <c r="M93" i="22"/>
  <c r="N93" i="22"/>
  <c r="O93" i="22"/>
  <c r="P93" i="22"/>
  <c r="Q93" i="22"/>
  <c r="R93" i="22"/>
  <c r="S93" i="22"/>
  <c r="T93" i="22"/>
  <c r="U93" i="22"/>
  <c r="V93" i="22"/>
  <c r="W93" i="22"/>
  <c r="X93" i="22"/>
  <c r="Y93" i="22"/>
  <c r="Z93" i="22"/>
  <c r="AA93" i="22"/>
  <c r="AB93" i="22"/>
  <c r="AC93" i="22"/>
  <c r="AD93" i="22"/>
  <c r="AE93" i="22"/>
  <c r="AF93" i="22"/>
  <c r="AG93" i="22"/>
  <c r="E94" i="22"/>
  <c r="F94" i="22"/>
  <c r="G94" i="22"/>
  <c r="H94" i="22"/>
  <c r="I94" i="22"/>
  <c r="J94" i="22"/>
  <c r="K94" i="22"/>
  <c r="L94" i="22"/>
  <c r="M94" i="22"/>
  <c r="N94" i="22"/>
  <c r="O94" i="22"/>
  <c r="P94" i="22"/>
  <c r="Q94" i="22"/>
  <c r="R94" i="22"/>
  <c r="S94" i="22"/>
  <c r="T94" i="22"/>
  <c r="U94" i="22"/>
  <c r="V94" i="22"/>
  <c r="W94" i="22"/>
  <c r="X94" i="22"/>
  <c r="Y94" i="22"/>
  <c r="Z94" i="22"/>
  <c r="AA94" i="22"/>
  <c r="AB94" i="22"/>
  <c r="AC94" i="22"/>
  <c r="AD94" i="22"/>
  <c r="AE94" i="22"/>
  <c r="AF94" i="22"/>
  <c r="AG94" i="22"/>
  <c r="W81" i="21"/>
  <c r="W81" i="22" s="1"/>
  <c r="X81" i="21"/>
  <c r="X81" i="22" s="1"/>
  <c r="W82" i="21"/>
  <c r="W82" i="22" s="1"/>
  <c r="X82" i="21"/>
  <c r="X82" i="22" s="1"/>
  <c r="W83" i="21"/>
  <c r="W83" i="22" s="1"/>
  <c r="X83" i="21"/>
  <c r="X83" i="22" s="1"/>
  <c r="I81" i="21"/>
  <c r="I81" i="22" s="1"/>
  <c r="I82" i="21"/>
  <c r="I82" i="22" s="1"/>
  <c r="I83" i="21"/>
  <c r="I83" i="22" s="1"/>
  <c r="D11" i="4" l="1"/>
  <c r="P9" i="4"/>
  <c r="J7" i="14"/>
  <c r="L78" i="22"/>
  <c r="AA79" i="22"/>
  <c r="E79" i="22"/>
  <c r="F79" i="22"/>
  <c r="G79" i="22"/>
  <c r="H79" i="22"/>
  <c r="I79" i="22"/>
  <c r="J79" i="22"/>
  <c r="K79" i="22"/>
  <c r="L79" i="22"/>
  <c r="M79" i="22"/>
  <c r="N79" i="22"/>
  <c r="O79" i="22"/>
  <c r="P79" i="22"/>
  <c r="Q79" i="22"/>
  <c r="R79" i="22"/>
  <c r="S79" i="22"/>
  <c r="T79" i="22"/>
  <c r="U79" i="22"/>
  <c r="V79" i="22"/>
  <c r="W79" i="22"/>
  <c r="X79" i="22"/>
  <c r="Y79" i="22"/>
  <c r="Z79" i="22"/>
  <c r="AB79" i="22"/>
  <c r="AC79" i="22"/>
  <c r="AD79" i="22"/>
  <c r="AE79" i="22"/>
  <c r="AF79" i="22"/>
  <c r="AG79" i="22"/>
  <c r="D79" i="22"/>
  <c r="H78" i="22"/>
  <c r="P78" i="22"/>
  <c r="T78" i="22"/>
  <c r="U78" i="21"/>
  <c r="V78" i="21"/>
  <c r="W78" i="21"/>
  <c r="X78" i="21"/>
  <c r="X78" i="22" s="1"/>
  <c r="Y78" i="21"/>
  <c r="Z78" i="21"/>
  <c r="AA78" i="21"/>
  <c r="AB78" i="21"/>
  <c r="AC78" i="21"/>
  <c r="AD78" i="21"/>
  <c r="AE78" i="21"/>
  <c r="AF78" i="22"/>
  <c r="D78" i="22"/>
  <c r="E81" i="21"/>
  <c r="F81" i="21"/>
  <c r="G81" i="21"/>
  <c r="H81" i="21"/>
  <c r="N81" i="21"/>
  <c r="N81" i="22" s="1"/>
  <c r="S81" i="21"/>
  <c r="S81" i="22" s="1"/>
  <c r="T81" i="21"/>
  <c r="T81" i="22" s="1"/>
  <c r="U81" i="21"/>
  <c r="U81" i="22" s="1"/>
  <c r="V81" i="21"/>
  <c r="V81" i="22" s="1"/>
  <c r="Y81" i="21"/>
  <c r="Y81" i="22" s="1"/>
  <c r="Z81" i="21"/>
  <c r="Z81" i="22" s="1"/>
  <c r="AA81" i="21"/>
  <c r="AA81" i="22" s="1"/>
  <c r="AB81" i="21"/>
  <c r="AB81" i="22" s="1"/>
  <c r="AC81" i="21"/>
  <c r="AC81" i="22" s="1"/>
  <c r="AD81" i="21"/>
  <c r="AD81" i="22" s="1"/>
  <c r="AE81" i="21"/>
  <c r="AF81" i="21"/>
  <c r="AG81" i="21"/>
  <c r="AG81" i="22" s="1"/>
  <c r="E82" i="21"/>
  <c r="F82" i="21"/>
  <c r="G82" i="21"/>
  <c r="H82" i="21"/>
  <c r="S82" i="21"/>
  <c r="S82" i="22" s="1"/>
  <c r="T82" i="21"/>
  <c r="T82" i="22" s="1"/>
  <c r="U82" i="21"/>
  <c r="U82" i="22" s="1"/>
  <c r="V82" i="21"/>
  <c r="V82" i="22" s="1"/>
  <c r="Y82" i="21"/>
  <c r="Y82" i="22" s="1"/>
  <c r="Z82" i="21"/>
  <c r="Z82" i="22" s="1"/>
  <c r="AA82" i="21"/>
  <c r="AA82" i="22" s="1"/>
  <c r="AB82" i="21"/>
  <c r="AB82" i="22" s="1"/>
  <c r="AC82" i="21"/>
  <c r="AC82" i="22" s="1"/>
  <c r="AD82" i="21"/>
  <c r="AD82" i="22" s="1"/>
  <c r="AE82" i="21"/>
  <c r="AF82" i="21"/>
  <c r="AG82" i="21"/>
  <c r="AG82" i="22" s="1"/>
  <c r="E83" i="21"/>
  <c r="F83" i="21"/>
  <c r="G83" i="21"/>
  <c r="H83" i="21"/>
  <c r="K83" i="21"/>
  <c r="K83" i="22" s="1"/>
  <c r="L83" i="21"/>
  <c r="L83" i="22" s="1"/>
  <c r="S83" i="21"/>
  <c r="S83" i="22" s="1"/>
  <c r="T83" i="21"/>
  <c r="T83" i="22" s="1"/>
  <c r="U83" i="21"/>
  <c r="U83" i="22" s="1"/>
  <c r="V83" i="21"/>
  <c r="V83" i="22" s="1"/>
  <c r="Y83" i="21"/>
  <c r="Y83" i="22" s="1"/>
  <c r="Z83" i="21"/>
  <c r="Z83" i="22" s="1"/>
  <c r="AA83" i="21"/>
  <c r="AA83" i="22" s="1"/>
  <c r="AB83" i="21"/>
  <c r="AB83" i="22" s="1"/>
  <c r="AC83" i="21"/>
  <c r="AC83" i="22" s="1"/>
  <c r="AD83" i="21"/>
  <c r="AD83" i="22" s="1"/>
  <c r="AE83" i="21"/>
  <c r="AF83" i="21"/>
  <c r="AG83" i="21"/>
  <c r="AG83" i="22" s="1"/>
  <c r="D83" i="21"/>
  <c r="D82" i="21"/>
  <c r="D81" i="21"/>
  <c r="D94" i="22"/>
  <c r="D93" i="22"/>
  <c r="D92" i="22"/>
  <c r="E43" i="22"/>
  <c r="F43" i="22"/>
  <c r="G43" i="22"/>
  <c r="H43" i="22"/>
  <c r="I43" i="22"/>
  <c r="J43" i="22"/>
  <c r="K43" i="22"/>
  <c r="L43" i="22"/>
  <c r="M43" i="22"/>
  <c r="N43" i="22"/>
  <c r="O43" i="22"/>
  <c r="P43" i="22"/>
  <c r="Q43" i="22"/>
  <c r="R43" i="22"/>
  <c r="S43" i="22"/>
  <c r="T43" i="22"/>
  <c r="U43" i="22"/>
  <c r="V43" i="22"/>
  <c r="W43" i="22"/>
  <c r="X43" i="22"/>
  <c r="Y43" i="22"/>
  <c r="Z43" i="22"/>
  <c r="AA43" i="22"/>
  <c r="AB43" i="22"/>
  <c r="AC43" i="22"/>
  <c r="AD43" i="22"/>
  <c r="AE43" i="22"/>
  <c r="AF43" i="22"/>
  <c r="AG43" i="22"/>
  <c r="E44" i="22"/>
  <c r="F44" i="22"/>
  <c r="G44" i="22"/>
  <c r="H44" i="22"/>
  <c r="I44" i="22"/>
  <c r="J44" i="22"/>
  <c r="K44" i="22"/>
  <c r="L44" i="22"/>
  <c r="M44" i="22"/>
  <c r="N44" i="22"/>
  <c r="O44" i="22"/>
  <c r="P44" i="22"/>
  <c r="Q44" i="22"/>
  <c r="R44" i="22"/>
  <c r="S44" i="22"/>
  <c r="T44" i="22"/>
  <c r="U44" i="22"/>
  <c r="V44" i="22"/>
  <c r="W44" i="22"/>
  <c r="X44" i="22"/>
  <c r="Y44" i="22"/>
  <c r="Z44" i="22"/>
  <c r="AA44" i="22"/>
  <c r="AB44" i="22"/>
  <c r="AC44" i="22"/>
  <c r="AD44" i="22"/>
  <c r="AE44" i="22"/>
  <c r="AF44" i="22"/>
  <c r="AG44" i="22"/>
  <c r="E45" i="22"/>
  <c r="F45" i="22"/>
  <c r="G45" i="22"/>
  <c r="H45" i="22"/>
  <c r="I45" i="22"/>
  <c r="J45" i="22"/>
  <c r="K45" i="22"/>
  <c r="L45" i="22"/>
  <c r="M45" i="22"/>
  <c r="N45" i="22"/>
  <c r="O45" i="22"/>
  <c r="P45" i="22"/>
  <c r="Q45" i="22"/>
  <c r="R45" i="22"/>
  <c r="S45" i="22"/>
  <c r="T45" i="22"/>
  <c r="U45" i="22"/>
  <c r="V45" i="22"/>
  <c r="W45" i="22"/>
  <c r="X45" i="22"/>
  <c r="Y45" i="22"/>
  <c r="Z45" i="22"/>
  <c r="AA45" i="22"/>
  <c r="AB45" i="22"/>
  <c r="AC45" i="22"/>
  <c r="AD45" i="22"/>
  <c r="AE45" i="22"/>
  <c r="AF45" i="22"/>
  <c r="AG45" i="22"/>
  <c r="E46" i="22"/>
  <c r="F46" i="22"/>
  <c r="G46" i="22"/>
  <c r="H46" i="22"/>
  <c r="I46" i="22"/>
  <c r="J46" i="22"/>
  <c r="K46" i="22"/>
  <c r="L46" i="22"/>
  <c r="M46" i="22"/>
  <c r="N46" i="22"/>
  <c r="O46" i="22"/>
  <c r="P46" i="22"/>
  <c r="Q46" i="22"/>
  <c r="R46" i="22"/>
  <c r="S46" i="22"/>
  <c r="T46" i="22"/>
  <c r="U46" i="22"/>
  <c r="V46" i="22"/>
  <c r="W46" i="22"/>
  <c r="X46" i="22"/>
  <c r="Y46" i="22"/>
  <c r="Z46" i="22"/>
  <c r="AA46" i="22"/>
  <c r="AB46" i="22"/>
  <c r="AC46" i="22"/>
  <c r="AD46" i="22"/>
  <c r="AE46" i="22"/>
  <c r="AF46" i="22"/>
  <c r="AG46" i="22"/>
  <c r="E48" i="22"/>
  <c r="F48" i="22"/>
  <c r="G48" i="22"/>
  <c r="H48" i="22"/>
  <c r="I48" i="22"/>
  <c r="J48" i="22"/>
  <c r="K48" i="22"/>
  <c r="L48" i="22"/>
  <c r="M48" i="22"/>
  <c r="N48" i="22"/>
  <c r="O48" i="22"/>
  <c r="P48" i="22"/>
  <c r="Q48" i="22"/>
  <c r="R48" i="22"/>
  <c r="S48" i="22"/>
  <c r="T48" i="22"/>
  <c r="U48" i="22"/>
  <c r="V48" i="22"/>
  <c r="W48" i="22"/>
  <c r="X48" i="22"/>
  <c r="Y48" i="22"/>
  <c r="Z48" i="22"/>
  <c r="AA48" i="22"/>
  <c r="AB48" i="22"/>
  <c r="AC48" i="22"/>
  <c r="AD48" i="22"/>
  <c r="AE48" i="22"/>
  <c r="AF48" i="22"/>
  <c r="AG48" i="22"/>
  <c r="E49" i="22"/>
  <c r="F49" i="22"/>
  <c r="G49" i="22"/>
  <c r="H49" i="22"/>
  <c r="I49" i="22"/>
  <c r="J49" i="22"/>
  <c r="K49" i="22"/>
  <c r="L49" i="22"/>
  <c r="M49" i="22"/>
  <c r="N49" i="22"/>
  <c r="O49" i="22"/>
  <c r="P49" i="22"/>
  <c r="Q49" i="22"/>
  <c r="R49" i="22"/>
  <c r="S49" i="22"/>
  <c r="T49" i="22"/>
  <c r="U49" i="22"/>
  <c r="V49" i="22"/>
  <c r="W49" i="22"/>
  <c r="X49" i="22"/>
  <c r="Y49" i="22"/>
  <c r="Z49" i="22"/>
  <c r="AA49" i="22"/>
  <c r="AB49" i="22"/>
  <c r="AC49" i="22"/>
  <c r="AD49" i="22"/>
  <c r="AE49" i="22"/>
  <c r="AF49" i="22"/>
  <c r="AG49" i="22"/>
  <c r="E50" i="22"/>
  <c r="F50" i="22"/>
  <c r="G50" i="22"/>
  <c r="H50" i="22"/>
  <c r="I50" i="22"/>
  <c r="J50" i="22"/>
  <c r="K50" i="22"/>
  <c r="L50" i="22"/>
  <c r="M50" i="22"/>
  <c r="N50" i="22"/>
  <c r="O50" i="22"/>
  <c r="P50" i="22"/>
  <c r="Q50" i="22"/>
  <c r="R50" i="22"/>
  <c r="S50" i="22"/>
  <c r="T50" i="22"/>
  <c r="U50" i="22"/>
  <c r="V50" i="22"/>
  <c r="W50" i="22"/>
  <c r="X50" i="22"/>
  <c r="Y50" i="22"/>
  <c r="Z50" i="22"/>
  <c r="AA50" i="22"/>
  <c r="AB50" i="22"/>
  <c r="AC50" i="22"/>
  <c r="AD50" i="22"/>
  <c r="AE50" i="22"/>
  <c r="AF50" i="22"/>
  <c r="AG50" i="22"/>
  <c r="E51" i="22"/>
  <c r="F51" i="22"/>
  <c r="G51" i="22"/>
  <c r="H51" i="22"/>
  <c r="I51" i="22"/>
  <c r="J51" i="22"/>
  <c r="K51" i="22"/>
  <c r="L51" i="22"/>
  <c r="M51" i="22"/>
  <c r="N51" i="22"/>
  <c r="O51" i="22"/>
  <c r="P51" i="22"/>
  <c r="Q51" i="22"/>
  <c r="R51" i="22"/>
  <c r="S51" i="22"/>
  <c r="T51" i="22"/>
  <c r="U51" i="22"/>
  <c r="V51" i="22"/>
  <c r="W51" i="22"/>
  <c r="X51" i="22"/>
  <c r="Y51" i="22"/>
  <c r="Z51" i="22"/>
  <c r="AA51" i="22"/>
  <c r="AB51" i="22"/>
  <c r="AC51" i="22"/>
  <c r="AD51" i="22"/>
  <c r="AE51" i="22"/>
  <c r="AF51" i="22"/>
  <c r="AG51" i="22"/>
  <c r="E52" i="22"/>
  <c r="F52" i="22"/>
  <c r="G52" i="22"/>
  <c r="H52" i="22"/>
  <c r="I52" i="22"/>
  <c r="J52" i="22"/>
  <c r="K52" i="22"/>
  <c r="L52" i="22"/>
  <c r="M52" i="22"/>
  <c r="N52" i="22"/>
  <c r="O52" i="22"/>
  <c r="P52" i="22"/>
  <c r="Q52" i="22"/>
  <c r="R52" i="22"/>
  <c r="S52" i="22"/>
  <c r="T52" i="22"/>
  <c r="U52" i="22"/>
  <c r="V52" i="22"/>
  <c r="W52" i="22"/>
  <c r="X52" i="22"/>
  <c r="Y52" i="22"/>
  <c r="Z52" i="22"/>
  <c r="AA52" i="22"/>
  <c r="AB52" i="22"/>
  <c r="AC52" i="22"/>
  <c r="AD52" i="22"/>
  <c r="AE52" i="22"/>
  <c r="AF52" i="22"/>
  <c r="AG52" i="22"/>
  <c r="E54" i="22"/>
  <c r="F54" i="22"/>
  <c r="G54" i="22"/>
  <c r="H54" i="22"/>
  <c r="I54" i="22"/>
  <c r="J54" i="22"/>
  <c r="K54" i="22"/>
  <c r="L54" i="22"/>
  <c r="M54" i="22"/>
  <c r="N54" i="22"/>
  <c r="O54" i="22"/>
  <c r="P54" i="22"/>
  <c r="Q54" i="22"/>
  <c r="R54" i="22"/>
  <c r="S54" i="22"/>
  <c r="T54" i="22"/>
  <c r="U54" i="22"/>
  <c r="V54" i="22"/>
  <c r="W54" i="22"/>
  <c r="X54" i="22"/>
  <c r="Y54" i="22"/>
  <c r="Z54" i="22"/>
  <c r="AA54" i="22"/>
  <c r="AB54" i="22"/>
  <c r="AC54" i="22"/>
  <c r="AD54" i="22"/>
  <c r="AE54" i="22"/>
  <c r="AF54" i="22"/>
  <c r="AG54" i="22"/>
  <c r="E55" i="22"/>
  <c r="F55" i="22"/>
  <c r="G55" i="22"/>
  <c r="H55" i="22"/>
  <c r="I55" i="22"/>
  <c r="J55" i="22"/>
  <c r="K55" i="22"/>
  <c r="L55" i="22"/>
  <c r="M55" i="22"/>
  <c r="N55" i="22"/>
  <c r="O55" i="22"/>
  <c r="P55" i="22"/>
  <c r="Q55" i="22"/>
  <c r="R55" i="22"/>
  <c r="S55" i="22"/>
  <c r="T55" i="22"/>
  <c r="U55" i="22"/>
  <c r="V55" i="22"/>
  <c r="W55" i="22"/>
  <c r="X55" i="22"/>
  <c r="Y55" i="22"/>
  <c r="Z55" i="22"/>
  <c r="AA55" i="22"/>
  <c r="AB55" i="22"/>
  <c r="AC55" i="22"/>
  <c r="AD55" i="22"/>
  <c r="AE55" i="22"/>
  <c r="AF55" i="22"/>
  <c r="AG55" i="22"/>
  <c r="E56" i="22"/>
  <c r="F56" i="22"/>
  <c r="G56" i="22"/>
  <c r="H56" i="22"/>
  <c r="I56" i="22"/>
  <c r="J56" i="22"/>
  <c r="K56" i="22"/>
  <c r="L56" i="22"/>
  <c r="M56" i="22"/>
  <c r="N56" i="22"/>
  <c r="O56" i="22"/>
  <c r="P56" i="22"/>
  <c r="Q56" i="22"/>
  <c r="R56" i="22"/>
  <c r="S56" i="22"/>
  <c r="T56" i="22"/>
  <c r="U56" i="22"/>
  <c r="V56" i="22"/>
  <c r="W56" i="22"/>
  <c r="X56" i="22"/>
  <c r="Y56" i="22"/>
  <c r="Z56" i="22"/>
  <c r="AA56" i="22"/>
  <c r="AB56" i="22"/>
  <c r="AC56" i="22"/>
  <c r="AD56" i="22"/>
  <c r="AE56" i="22"/>
  <c r="AF56" i="22"/>
  <c r="AG56" i="22"/>
  <c r="E57" i="22"/>
  <c r="F57" i="22"/>
  <c r="G57" i="22"/>
  <c r="H57" i="22"/>
  <c r="I57" i="22"/>
  <c r="J57" i="22"/>
  <c r="K57" i="22"/>
  <c r="L57" i="22"/>
  <c r="M57" i="22"/>
  <c r="N57" i="22"/>
  <c r="O57" i="22"/>
  <c r="P57" i="22"/>
  <c r="Q57" i="22"/>
  <c r="R57" i="22"/>
  <c r="S57" i="22"/>
  <c r="T57" i="22"/>
  <c r="U57" i="22"/>
  <c r="V57" i="22"/>
  <c r="W57" i="22"/>
  <c r="X57" i="22"/>
  <c r="Y57" i="22"/>
  <c r="Z57" i="22"/>
  <c r="AA57" i="22"/>
  <c r="AB57" i="22"/>
  <c r="AC57" i="22"/>
  <c r="AD57" i="22"/>
  <c r="AE57" i="22"/>
  <c r="AF57" i="22"/>
  <c r="AG57" i="22"/>
  <c r="E59" i="22"/>
  <c r="F59" i="22"/>
  <c r="G59" i="22"/>
  <c r="H59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U59" i="22"/>
  <c r="V59" i="22"/>
  <c r="W59" i="22"/>
  <c r="E60" i="22"/>
  <c r="F60" i="22"/>
  <c r="G60" i="22"/>
  <c r="H60" i="22"/>
  <c r="I60" i="22"/>
  <c r="J60" i="22"/>
  <c r="K60" i="22"/>
  <c r="L60" i="22"/>
  <c r="M60" i="22"/>
  <c r="N60" i="22"/>
  <c r="O60" i="22"/>
  <c r="P60" i="22"/>
  <c r="Q60" i="22"/>
  <c r="R60" i="22"/>
  <c r="S60" i="22"/>
  <c r="T60" i="22"/>
  <c r="U60" i="22"/>
  <c r="V60" i="22"/>
  <c r="AA60" i="22"/>
  <c r="AD60" i="22"/>
  <c r="E63" i="22"/>
  <c r="F63" i="22"/>
  <c r="G63" i="22"/>
  <c r="H63" i="22"/>
  <c r="I63" i="22"/>
  <c r="J63" i="22"/>
  <c r="K63" i="22"/>
  <c r="L63" i="22"/>
  <c r="M63" i="22"/>
  <c r="N63" i="22"/>
  <c r="O63" i="22"/>
  <c r="P63" i="22"/>
  <c r="Q63" i="22"/>
  <c r="R63" i="22"/>
  <c r="S63" i="22"/>
  <c r="T63" i="22"/>
  <c r="U63" i="22"/>
  <c r="V63" i="22"/>
  <c r="W63" i="22"/>
  <c r="X63" i="22"/>
  <c r="Y63" i="22"/>
  <c r="Z63" i="22"/>
  <c r="AA63" i="22"/>
  <c r="AB63" i="22"/>
  <c r="AC63" i="22"/>
  <c r="AD63" i="22"/>
  <c r="AE63" i="22"/>
  <c r="AF63" i="22"/>
  <c r="AG63" i="22"/>
  <c r="E64" i="22"/>
  <c r="F64" i="22"/>
  <c r="G64" i="22"/>
  <c r="H64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U64" i="22"/>
  <c r="V64" i="22"/>
  <c r="W64" i="22"/>
  <c r="X64" i="22"/>
  <c r="Y64" i="22"/>
  <c r="Z64" i="22"/>
  <c r="AA64" i="22"/>
  <c r="AB64" i="22"/>
  <c r="AC64" i="22"/>
  <c r="AD64" i="22"/>
  <c r="AE64" i="22"/>
  <c r="AF64" i="22"/>
  <c r="AG64" i="22"/>
  <c r="E65" i="22"/>
  <c r="F65" i="22"/>
  <c r="G65" i="22"/>
  <c r="H65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U65" i="22"/>
  <c r="V65" i="22"/>
  <c r="AC65" i="22"/>
  <c r="E66" i="22"/>
  <c r="F66" i="22"/>
  <c r="G66" i="22"/>
  <c r="H66" i="22"/>
  <c r="I66" i="22"/>
  <c r="J66" i="22"/>
  <c r="K66" i="22"/>
  <c r="L66" i="22"/>
  <c r="M66" i="22"/>
  <c r="N66" i="22"/>
  <c r="O66" i="22"/>
  <c r="P66" i="22"/>
  <c r="Q66" i="22"/>
  <c r="R66" i="22"/>
  <c r="S66" i="22"/>
  <c r="T66" i="22"/>
  <c r="U66" i="22"/>
  <c r="V66" i="22"/>
  <c r="AA66" i="22"/>
  <c r="AE66" i="22"/>
  <c r="AF66" i="22"/>
  <c r="E67" i="22"/>
  <c r="F67" i="22"/>
  <c r="G67" i="22"/>
  <c r="H67" i="22"/>
  <c r="I67" i="22"/>
  <c r="J67" i="22"/>
  <c r="K67" i="22"/>
  <c r="L67" i="22"/>
  <c r="M67" i="22"/>
  <c r="N67" i="22"/>
  <c r="O67" i="22"/>
  <c r="P67" i="22"/>
  <c r="Q67" i="22"/>
  <c r="R67" i="22"/>
  <c r="S67" i="22"/>
  <c r="T67" i="22"/>
  <c r="U67" i="22"/>
  <c r="V67" i="22"/>
  <c r="E68" i="22"/>
  <c r="F68" i="22"/>
  <c r="G68" i="22"/>
  <c r="H68" i="22"/>
  <c r="I68" i="22"/>
  <c r="J68" i="22"/>
  <c r="K68" i="22"/>
  <c r="L68" i="22"/>
  <c r="M68" i="22"/>
  <c r="N68" i="22"/>
  <c r="O68" i="22"/>
  <c r="P68" i="22"/>
  <c r="Q68" i="22"/>
  <c r="R68" i="22"/>
  <c r="S68" i="22"/>
  <c r="T68" i="22"/>
  <c r="U68" i="22"/>
  <c r="V68" i="22"/>
  <c r="W68" i="22"/>
  <c r="X68" i="22"/>
  <c r="Y68" i="22"/>
  <c r="Z68" i="22"/>
  <c r="AA68" i="22"/>
  <c r="AB68" i="22"/>
  <c r="AC68" i="22"/>
  <c r="AD68" i="22"/>
  <c r="AE68" i="22"/>
  <c r="AF68" i="22"/>
  <c r="AG68" i="22"/>
  <c r="E69" i="22"/>
  <c r="F69" i="22"/>
  <c r="G69" i="22"/>
  <c r="H69" i="22"/>
  <c r="I69" i="22"/>
  <c r="J69" i="22"/>
  <c r="K69" i="22"/>
  <c r="L69" i="22"/>
  <c r="M69" i="22"/>
  <c r="N69" i="22"/>
  <c r="O69" i="22"/>
  <c r="P69" i="22"/>
  <c r="Q69" i="22"/>
  <c r="R69" i="22"/>
  <c r="S69" i="22"/>
  <c r="T69" i="22"/>
  <c r="U69" i="22"/>
  <c r="V69" i="22"/>
  <c r="W69" i="22"/>
  <c r="X69" i="22"/>
  <c r="Y69" i="22"/>
  <c r="Z69" i="22"/>
  <c r="AA69" i="22"/>
  <c r="AB69" i="22"/>
  <c r="AC69" i="22"/>
  <c r="AD69" i="22"/>
  <c r="AE69" i="22"/>
  <c r="AF69" i="22"/>
  <c r="AG69" i="22"/>
  <c r="D63" i="22"/>
  <c r="D64" i="22"/>
  <c r="D65" i="22"/>
  <c r="D66" i="22"/>
  <c r="D67" i="22"/>
  <c r="D68" i="22"/>
  <c r="D69" i="22"/>
  <c r="D43" i="22"/>
  <c r="D44" i="22"/>
  <c r="D45" i="22"/>
  <c r="D46" i="22"/>
  <c r="D48" i="22"/>
  <c r="D49" i="22"/>
  <c r="D50" i="22"/>
  <c r="D51" i="22"/>
  <c r="D52" i="22"/>
  <c r="D54" i="22"/>
  <c r="D55" i="22"/>
  <c r="D56" i="22"/>
  <c r="D57" i="22"/>
  <c r="D59" i="22"/>
  <c r="D60" i="22"/>
  <c r="E35" i="22"/>
  <c r="F35" i="22"/>
  <c r="G35" i="22"/>
  <c r="H35" i="22"/>
  <c r="I35" i="22"/>
  <c r="J35" i="22"/>
  <c r="K35" i="22"/>
  <c r="L35" i="22"/>
  <c r="M35" i="22"/>
  <c r="N35" i="22"/>
  <c r="O35" i="22"/>
  <c r="P35" i="22"/>
  <c r="Q35" i="22"/>
  <c r="R35" i="22"/>
  <c r="S35" i="22"/>
  <c r="T35" i="22"/>
  <c r="U35" i="22"/>
  <c r="V35" i="22"/>
  <c r="W35" i="22"/>
  <c r="X35" i="22"/>
  <c r="Y35" i="22"/>
  <c r="Z35" i="22"/>
  <c r="AA35" i="22"/>
  <c r="AB35" i="22"/>
  <c r="AC35" i="22"/>
  <c r="AD35" i="22"/>
  <c r="AE35" i="22"/>
  <c r="AF35" i="22"/>
  <c r="AG35" i="22"/>
  <c r="E36" i="22"/>
  <c r="F36" i="22"/>
  <c r="G36" i="22"/>
  <c r="H36" i="22"/>
  <c r="I36" i="22"/>
  <c r="J36" i="22"/>
  <c r="K36" i="22"/>
  <c r="L36" i="22"/>
  <c r="M36" i="22"/>
  <c r="N36" i="22"/>
  <c r="O36" i="22"/>
  <c r="P36" i="22"/>
  <c r="Q36" i="22"/>
  <c r="R36" i="22"/>
  <c r="S36" i="22"/>
  <c r="T36" i="22"/>
  <c r="U36" i="22"/>
  <c r="V36" i="22"/>
  <c r="W36" i="22"/>
  <c r="X36" i="22"/>
  <c r="Y36" i="22"/>
  <c r="Z36" i="22"/>
  <c r="AA36" i="22"/>
  <c r="AB36" i="22"/>
  <c r="AC36" i="22"/>
  <c r="AD36" i="22"/>
  <c r="AE36" i="22"/>
  <c r="AF36" i="22"/>
  <c r="AG36" i="22"/>
  <c r="E37" i="22"/>
  <c r="F37" i="22"/>
  <c r="G37" i="22"/>
  <c r="H37" i="22"/>
  <c r="I37" i="22"/>
  <c r="J37" i="22"/>
  <c r="K37" i="22"/>
  <c r="L37" i="22"/>
  <c r="M37" i="22"/>
  <c r="N37" i="22"/>
  <c r="O37" i="22"/>
  <c r="P37" i="22"/>
  <c r="Q37" i="22"/>
  <c r="R37" i="22"/>
  <c r="S37" i="22"/>
  <c r="T37" i="22"/>
  <c r="U37" i="22"/>
  <c r="V37" i="22"/>
  <c r="W37" i="22"/>
  <c r="X37" i="22"/>
  <c r="Y37" i="22"/>
  <c r="Z37" i="22"/>
  <c r="AA37" i="22"/>
  <c r="AB37" i="22"/>
  <c r="AC37" i="22"/>
  <c r="AD37" i="22"/>
  <c r="AE37" i="22"/>
  <c r="AF37" i="22"/>
  <c r="AG37" i="22"/>
  <c r="E38" i="22"/>
  <c r="F38" i="22"/>
  <c r="G38" i="22"/>
  <c r="H38" i="22"/>
  <c r="I38" i="22"/>
  <c r="J38" i="22"/>
  <c r="K38" i="22"/>
  <c r="L38" i="22"/>
  <c r="M38" i="22"/>
  <c r="N38" i="22"/>
  <c r="O38" i="22"/>
  <c r="P38" i="22"/>
  <c r="Q38" i="22"/>
  <c r="R38" i="22"/>
  <c r="S38" i="22"/>
  <c r="T38" i="22"/>
  <c r="U38" i="22"/>
  <c r="V38" i="22"/>
  <c r="W38" i="22"/>
  <c r="X38" i="22"/>
  <c r="Y38" i="22"/>
  <c r="Z38" i="22"/>
  <c r="AA38" i="22"/>
  <c r="AB38" i="22"/>
  <c r="AC38" i="22"/>
  <c r="AD38" i="22"/>
  <c r="AE38" i="22"/>
  <c r="AF38" i="22"/>
  <c r="AG38" i="22"/>
  <c r="E39" i="22"/>
  <c r="F39" i="22"/>
  <c r="G39" i="22"/>
  <c r="H39" i="22"/>
  <c r="I39" i="22"/>
  <c r="J39" i="22"/>
  <c r="K39" i="22"/>
  <c r="L39" i="22"/>
  <c r="M39" i="22"/>
  <c r="N39" i="22"/>
  <c r="O39" i="22"/>
  <c r="P39" i="22"/>
  <c r="Q39" i="22"/>
  <c r="R39" i="22"/>
  <c r="S39" i="22"/>
  <c r="T39" i="22"/>
  <c r="U39" i="22"/>
  <c r="V39" i="22"/>
  <c r="W39" i="22"/>
  <c r="X39" i="22"/>
  <c r="Y39" i="22"/>
  <c r="Z39" i="22"/>
  <c r="AA39" i="22"/>
  <c r="AB39" i="22"/>
  <c r="AC39" i="22"/>
  <c r="AD39" i="22"/>
  <c r="AE39" i="22"/>
  <c r="AF39" i="22"/>
  <c r="AG39" i="22"/>
  <c r="E29" i="22"/>
  <c r="F29" i="22"/>
  <c r="G29" i="22"/>
  <c r="H29" i="22"/>
  <c r="I29" i="22"/>
  <c r="J29" i="22"/>
  <c r="K29" i="22"/>
  <c r="L29" i="22"/>
  <c r="M29" i="22"/>
  <c r="N29" i="22"/>
  <c r="O29" i="22"/>
  <c r="P29" i="22"/>
  <c r="Q29" i="22"/>
  <c r="R29" i="22"/>
  <c r="S29" i="22"/>
  <c r="T29" i="22"/>
  <c r="U29" i="22"/>
  <c r="V29" i="22"/>
  <c r="W29" i="22"/>
  <c r="X29" i="22"/>
  <c r="Y29" i="22"/>
  <c r="Z29" i="22"/>
  <c r="AA29" i="22"/>
  <c r="AB29" i="22"/>
  <c r="AC29" i="22"/>
  <c r="AD29" i="22"/>
  <c r="AE29" i="22"/>
  <c r="AF29" i="22"/>
  <c r="AG29" i="22"/>
  <c r="E30" i="22"/>
  <c r="F30" i="22"/>
  <c r="G30" i="22"/>
  <c r="H30" i="22"/>
  <c r="I30" i="22"/>
  <c r="J30" i="22"/>
  <c r="K30" i="22"/>
  <c r="L30" i="22"/>
  <c r="M30" i="22"/>
  <c r="N30" i="22"/>
  <c r="O30" i="22"/>
  <c r="P30" i="22"/>
  <c r="Q30" i="22"/>
  <c r="R30" i="22"/>
  <c r="S30" i="22"/>
  <c r="T30" i="22"/>
  <c r="U30" i="22"/>
  <c r="V30" i="22"/>
  <c r="W30" i="22"/>
  <c r="X30" i="22"/>
  <c r="Y30" i="22"/>
  <c r="Z30" i="22"/>
  <c r="AA30" i="22"/>
  <c r="AB30" i="22"/>
  <c r="AC30" i="22"/>
  <c r="AD30" i="22"/>
  <c r="AE30" i="22"/>
  <c r="AF30" i="22"/>
  <c r="AG30" i="22"/>
  <c r="E31" i="22"/>
  <c r="F31" i="22"/>
  <c r="G31" i="22"/>
  <c r="H31" i="22"/>
  <c r="I31" i="22"/>
  <c r="J31" i="22"/>
  <c r="K31" i="22"/>
  <c r="L31" i="22"/>
  <c r="M31" i="22"/>
  <c r="N31" i="22"/>
  <c r="O31" i="22"/>
  <c r="P31" i="22"/>
  <c r="Q31" i="22"/>
  <c r="R31" i="22"/>
  <c r="S31" i="22"/>
  <c r="T31" i="22"/>
  <c r="U31" i="22"/>
  <c r="V31" i="22"/>
  <c r="W31" i="22"/>
  <c r="X31" i="22"/>
  <c r="Y31" i="22"/>
  <c r="Z31" i="22"/>
  <c r="AA31" i="22"/>
  <c r="AB31" i="22"/>
  <c r="AC31" i="22"/>
  <c r="AD31" i="22"/>
  <c r="AE31" i="22"/>
  <c r="AF31" i="22"/>
  <c r="AG31" i="22"/>
  <c r="D29" i="22"/>
  <c r="D30" i="22"/>
  <c r="D31" i="22"/>
  <c r="D35" i="22"/>
  <c r="D36" i="22"/>
  <c r="D37" i="22"/>
  <c r="D38" i="22"/>
  <c r="D39" i="22"/>
  <c r="E22" i="22"/>
  <c r="F22" i="22"/>
  <c r="G22" i="22"/>
  <c r="H22" i="22"/>
  <c r="I22" i="22"/>
  <c r="J22" i="22"/>
  <c r="K22" i="22"/>
  <c r="L22" i="22"/>
  <c r="M22" i="22"/>
  <c r="N22" i="22"/>
  <c r="O22" i="22"/>
  <c r="P22" i="22"/>
  <c r="Q22" i="22"/>
  <c r="R22" i="22"/>
  <c r="S22" i="22"/>
  <c r="T22" i="22"/>
  <c r="U22" i="22"/>
  <c r="V22" i="22"/>
  <c r="W22" i="22"/>
  <c r="X22" i="22"/>
  <c r="Y22" i="22"/>
  <c r="Z22" i="22"/>
  <c r="AA22" i="22"/>
  <c r="AB22" i="22"/>
  <c r="AC22" i="22"/>
  <c r="AD22" i="22"/>
  <c r="AE22" i="22"/>
  <c r="AF22" i="22"/>
  <c r="AG22" i="22"/>
  <c r="E23" i="22"/>
  <c r="F23" i="22"/>
  <c r="G23" i="22"/>
  <c r="H23" i="22"/>
  <c r="I23" i="22"/>
  <c r="J23" i="22"/>
  <c r="K23" i="22"/>
  <c r="L23" i="22"/>
  <c r="M23" i="22"/>
  <c r="N23" i="22"/>
  <c r="O23" i="22"/>
  <c r="P23" i="22"/>
  <c r="Q23" i="22"/>
  <c r="R23" i="22"/>
  <c r="S23" i="22"/>
  <c r="T23" i="22"/>
  <c r="U23" i="22"/>
  <c r="V23" i="22"/>
  <c r="W23" i="22"/>
  <c r="X23" i="22"/>
  <c r="Y23" i="22"/>
  <c r="Z23" i="22"/>
  <c r="AA23" i="22"/>
  <c r="AB23" i="22"/>
  <c r="AC23" i="22"/>
  <c r="AD23" i="22"/>
  <c r="AE23" i="22"/>
  <c r="AF23" i="22"/>
  <c r="AG23" i="22"/>
  <c r="E24" i="22"/>
  <c r="F24" i="22"/>
  <c r="G24" i="22"/>
  <c r="H24" i="22"/>
  <c r="I24" i="22"/>
  <c r="J24" i="22"/>
  <c r="K24" i="22"/>
  <c r="L24" i="22"/>
  <c r="M24" i="22"/>
  <c r="N24" i="22"/>
  <c r="O24" i="22"/>
  <c r="P24" i="22"/>
  <c r="Q24" i="22"/>
  <c r="R24" i="22"/>
  <c r="S24" i="22"/>
  <c r="T24" i="22"/>
  <c r="U24" i="22"/>
  <c r="V24" i="22"/>
  <c r="W24" i="22"/>
  <c r="X24" i="22"/>
  <c r="Y24" i="22"/>
  <c r="Z24" i="22"/>
  <c r="AA24" i="22"/>
  <c r="AB24" i="22"/>
  <c r="AC24" i="22"/>
  <c r="AD24" i="22"/>
  <c r="AE24" i="22"/>
  <c r="AF24" i="22"/>
  <c r="AG24" i="22"/>
  <c r="E25" i="22"/>
  <c r="F25" i="22"/>
  <c r="G25" i="22"/>
  <c r="H25" i="22"/>
  <c r="I25" i="22"/>
  <c r="J25" i="22"/>
  <c r="K25" i="22"/>
  <c r="L25" i="22"/>
  <c r="M25" i="22"/>
  <c r="N25" i="22"/>
  <c r="O25" i="22"/>
  <c r="P25" i="22"/>
  <c r="Q25" i="22"/>
  <c r="R25" i="22"/>
  <c r="S25" i="22"/>
  <c r="T25" i="22"/>
  <c r="U25" i="22"/>
  <c r="V25" i="22"/>
  <c r="W25" i="22"/>
  <c r="X25" i="22"/>
  <c r="Y25" i="22"/>
  <c r="Z25" i="22"/>
  <c r="AA25" i="22"/>
  <c r="AB25" i="22"/>
  <c r="AC25" i="22"/>
  <c r="AD25" i="22"/>
  <c r="AE25" i="22"/>
  <c r="AF25" i="22"/>
  <c r="AG25" i="22"/>
  <c r="E26" i="22"/>
  <c r="F26" i="22"/>
  <c r="G26" i="22"/>
  <c r="H26" i="22"/>
  <c r="I26" i="22"/>
  <c r="J26" i="22"/>
  <c r="K26" i="22"/>
  <c r="L26" i="22"/>
  <c r="M26" i="22"/>
  <c r="N26" i="22"/>
  <c r="O26" i="22"/>
  <c r="P26" i="22"/>
  <c r="Q26" i="22"/>
  <c r="R26" i="22"/>
  <c r="S26" i="22"/>
  <c r="T26" i="22"/>
  <c r="U26" i="22"/>
  <c r="V26" i="22"/>
  <c r="W26" i="22"/>
  <c r="X26" i="22"/>
  <c r="Y26" i="22"/>
  <c r="Z26" i="22"/>
  <c r="AA26" i="22"/>
  <c r="AB26" i="22"/>
  <c r="AC26" i="22"/>
  <c r="AD26" i="22"/>
  <c r="AE26" i="22"/>
  <c r="AF26" i="22"/>
  <c r="AG26" i="22"/>
  <c r="D23" i="22"/>
  <c r="D24" i="22"/>
  <c r="D25" i="22"/>
  <c r="D26" i="22"/>
  <c r="D22" i="22"/>
  <c r="E16" i="22"/>
  <c r="F16" i="22"/>
  <c r="G16" i="22"/>
  <c r="H16" i="22"/>
  <c r="I16" i="22"/>
  <c r="J16" i="22"/>
  <c r="K16" i="22"/>
  <c r="L16" i="22"/>
  <c r="M16" i="22"/>
  <c r="N16" i="22"/>
  <c r="O16" i="22"/>
  <c r="P16" i="22"/>
  <c r="Q16" i="22"/>
  <c r="R16" i="22"/>
  <c r="S16" i="22"/>
  <c r="T16" i="22"/>
  <c r="U16" i="22"/>
  <c r="V16" i="22"/>
  <c r="W16" i="22"/>
  <c r="X16" i="22"/>
  <c r="Y16" i="22"/>
  <c r="Z16" i="22"/>
  <c r="AA16" i="22"/>
  <c r="AB16" i="22"/>
  <c r="AC16" i="22"/>
  <c r="AD16" i="22"/>
  <c r="AE16" i="22"/>
  <c r="AF16" i="22"/>
  <c r="AG16" i="22"/>
  <c r="E17" i="22"/>
  <c r="F17" i="22"/>
  <c r="G17" i="22"/>
  <c r="H17" i="22"/>
  <c r="I17" i="22"/>
  <c r="J17" i="22"/>
  <c r="K17" i="22"/>
  <c r="L17" i="22"/>
  <c r="M17" i="22"/>
  <c r="N17" i="22"/>
  <c r="O17" i="22"/>
  <c r="P17" i="22"/>
  <c r="Q17" i="22"/>
  <c r="R17" i="22"/>
  <c r="S17" i="22"/>
  <c r="T17" i="22"/>
  <c r="U17" i="22"/>
  <c r="V17" i="22"/>
  <c r="W17" i="22"/>
  <c r="X17" i="22"/>
  <c r="Y17" i="22"/>
  <c r="Z17" i="22"/>
  <c r="AA17" i="22"/>
  <c r="AB17" i="22"/>
  <c r="AC17" i="22"/>
  <c r="AD17" i="22"/>
  <c r="AE17" i="22"/>
  <c r="AF17" i="22"/>
  <c r="AG17" i="22"/>
  <c r="E18" i="22"/>
  <c r="F18" i="22"/>
  <c r="G18" i="22"/>
  <c r="H18" i="22"/>
  <c r="I18" i="22"/>
  <c r="J18" i="22"/>
  <c r="K18" i="22"/>
  <c r="L18" i="22"/>
  <c r="M18" i="22"/>
  <c r="N18" i="22"/>
  <c r="O18" i="22"/>
  <c r="P18" i="22"/>
  <c r="Q18" i="22"/>
  <c r="R18" i="22"/>
  <c r="S18" i="22"/>
  <c r="T18" i="22"/>
  <c r="U18" i="22"/>
  <c r="V18" i="22"/>
  <c r="W18" i="22"/>
  <c r="X18" i="22"/>
  <c r="Y18" i="22"/>
  <c r="Z18" i="22"/>
  <c r="AA18" i="22"/>
  <c r="AB18" i="22"/>
  <c r="AC18" i="22"/>
  <c r="AD18" i="22"/>
  <c r="AE18" i="22"/>
  <c r="AF18" i="22"/>
  <c r="AG18" i="22"/>
  <c r="E8" i="22"/>
  <c r="F8" i="22"/>
  <c r="G8" i="22"/>
  <c r="H8" i="22"/>
  <c r="I8" i="22"/>
  <c r="J8" i="22"/>
  <c r="K8" i="22"/>
  <c r="L8" i="22"/>
  <c r="M8" i="22"/>
  <c r="N8" i="22"/>
  <c r="O8" i="22"/>
  <c r="P8" i="22"/>
  <c r="Q8" i="22"/>
  <c r="R8" i="22"/>
  <c r="S8" i="22"/>
  <c r="T8" i="22"/>
  <c r="U8" i="22"/>
  <c r="V8" i="22"/>
  <c r="W8" i="22"/>
  <c r="X8" i="22"/>
  <c r="Y8" i="22"/>
  <c r="Z8" i="22"/>
  <c r="AA8" i="22"/>
  <c r="AB8" i="22"/>
  <c r="AC8" i="22"/>
  <c r="AD8" i="22"/>
  <c r="AE8" i="22"/>
  <c r="AF8" i="22"/>
  <c r="AG8" i="22"/>
  <c r="E9" i="22"/>
  <c r="F9" i="22"/>
  <c r="G9" i="22"/>
  <c r="H9" i="22"/>
  <c r="I9" i="22"/>
  <c r="J9" i="22"/>
  <c r="K9" i="22"/>
  <c r="L9" i="22"/>
  <c r="M9" i="22"/>
  <c r="N9" i="22"/>
  <c r="O9" i="22"/>
  <c r="P9" i="22"/>
  <c r="Q9" i="22"/>
  <c r="S9" i="22"/>
  <c r="T9" i="22"/>
  <c r="U9" i="22"/>
  <c r="V9" i="22"/>
  <c r="W9" i="22"/>
  <c r="X9" i="22"/>
  <c r="Y9" i="22"/>
  <c r="Z9" i="22"/>
  <c r="AA9" i="22"/>
  <c r="AB9" i="22"/>
  <c r="AC9" i="22"/>
  <c r="AD9" i="22"/>
  <c r="AE9" i="22"/>
  <c r="AF9" i="22"/>
  <c r="AG9" i="22"/>
  <c r="E10" i="22"/>
  <c r="F10" i="22"/>
  <c r="G10" i="22"/>
  <c r="H10" i="22"/>
  <c r="I10" i="22"/>
  <c r="J10" i="22"/>
  <c r="K10" i="22"/>
  <c r="L10" i="22"/>
  <c r="M10" i="22"/>
  <c r="N10" i="22"/>
  <c r="O10" i="22"/>
  <c r="P10" i="22"/>
  <c r="Q10" i="22"/>
  <c r="S10" i="22"/>
  <c r="T10" i="22"/>
  <c r="U10" i="22"/>
  <c r="V10" i="22"/>
  <c r="W10" i="22"/>
  <c r="X10" i="22"/>
  <c r="Y10" i="22"/>
  <c r="Z10" i="22"/>
  <c r="AA10" i="22"/>
  <c r="AB10" i="22"/>
  <c r="AC10" i="22"/>
  <c r="AD10" i="22"/>
  <c r="AE10" i="22"/>
  <c r="AF10" i="22"/>
  <c r="AG10" i="22"/>
  <c r="E11" i="22"/>
  <c r="F11" i="22"/>
  <c r="G11" i="22"/>
  <c r="H11" i="22"/>
  <c r="I11" i="22"/>
  <c r="J11" i="22"/>
  <c r="K11" i="22"/>
  <c r="L11" i="22"/>
  <c r="M11" i="22"/>
  <c r="N11" i="22"/>
  <c r="O11" i="22"/>
  <c r="P11" i="22"/>
  <c r="Q11" i="22"/>
  <c r="S11" i="22"/>
  <c r="T11" i="22"/>
  <c r="U11" i="22"/>
  <c r="V11" i="22"/>
  <c r="W11" i="22"/>
  <c r="X11" i="22"/>
  <c r="Y11" i="22"/>
  <c r="Z11" i="22"/>
  <c r="AA11" i="22"/>
  <c r="AB11" i="22"/>
  <c r="AC11" i="22"/>
  <c r="AD11" i="22"/>
  <c r="AE11" i="22"/>
  <c r="AF11" i="22"/>
  <c r="AG11" i="22"/>
  <c r="E13" i="22"/>
  <c r="F13" i="22"/>
  <c r="G13" i="22"/>
  <c r="H13" i="22"/>
  <c r="I13" i="22"/>
  <c r="J13" i="22"/>
  <c r="K13" i="22"/>
  <c r="L13" i="22"/>
  <c r="M13" i="22"/>
  <c r="N13" i="22"/>
  <c r="O13" i="22"/>
  <c r="P13" i="22"/>
  <c r="Q13" i="22"/>
  <c r="R13" i="22"/>
  <c r="S13" i="22"/>
  <c r="T13" i="22"/>
  <c r="U13" i="22"/>
  <c r="V13" i="22"/>
  <c r="W13" i="22"/>
  <c r="X13" i="22"/>
  <c r="Y13" i="22"/>
  <c r="Z13" i="22"/>
  <c r="AA13" i="22"/>
  <c r="AB13" i="22"/>
  <c r="AC13" i="22"/>
  <c r="AD13" i="22"/>
  <c r="AE13" i="22"/>
  <c r="AF13" i="22"/>
  <c r="AG13" i="22"/>
  <c r="D13" i="22"/>
  <c r="D11" i="22"/>
  <c r="D10" i="22"/>
  <c r="D8" i="22"/>
  <c r="D18" i="22"/>
  <c r="D17" i="22"/>
  <c r="D16" i="22"/>
  <c r="AF12" i="21"/>
  <c r="AF12" i="22" s="1"/>
  <c r="AC60" i="22"/>
  <c r="AE60" i="22"/>
  <c r="AG60" i="22"/>
  <c r="AG65" i="22"/>
  <c r="AC72" i="22"/>
  <c r="AG72" i="22"/>
  <c r="AD67" i="22"/>
  <c r="AF65" i="22"/>
  <c r="AD59" i="22"/>
  <c r="AF59" i="22"/>
  <c r="AE12" i="21"/>
  <c r="AE12" i="22" s="1"/>
  <c r="AF72" i="22"/>
  <c r="D9" i="22"/>
  <c r="R9" i="22"/>
  <c r="R10" i="22"/>
  <c r="R11" i="22"/>
  <c r="M12" i="21"/>
  <c r="M12" i="22" s="1"/>
  <c r="N12" i="21"/>
  <c r="N12" i="22" s="1"/>
  <c r="O12" i="21"/>
  <c r="O12" i="22" s="1"/>
  <c r="P12" i="21"/>
  <c r="P12" i="22" s="1"/>
  <c r="Q12" i="21"/>
  <c r="Q12" i="22" s="1"/>
  <c r="M72" i="22"/>
  <c r="N72" i="22"/>
  <c r="O72" i="22"/>
  <c r="P72" i="22"/>
  <c r="Q72" i="22"/>
  <c r="J81" i="21"/>
  <c r="J81" i="22" s="1"/>
  <c r="R81" i="21"/>
  <c r="R81" i="22" s="1"/>
  <c r="X59" i="22"/>
  <c r="Y59" i="22"/>
  <c r="Z59" i="22"/>
  <c r="AB59" i="22"/>
  <c r="E12" i="21"/>
  <c r="E12" i="22" s="1"/>
  <c r="I12" i="21"/>
  <c r="I12" i="22" s="1"/>
  <c r="D82" i="22" l="1"/>
  <c r="D83" i="22"/>
  <c r="Q83" i="21"/>
  <c r="Q83" i="22" s="1"/>
  <c r="Q81" i="21"/>
  <c r="Q81" i="22" s="1"/>
  <c r="Q82" i="21"/>
  <c r="Q82" i="22" s="1"/>
  <c r="O81" i="21"/>
  <c r="O81" i="22" s="1"/>
  <c r="O82" i="21"/>
  <c r="O82" i="22" s="1"/>
  <c r="O83" i="21"/>
  <c r="O83" i="22" s="1"/>
  <c r="P81" i="21"/>
  <c r="P81" i="22" s="1"/>
  <c r="P82" i="21"/>
  <c r="P82" i="22" s="1"/>
  <c r="P83" i="21"/>
  <c r="P83" i="22" s="1"/>
  <c r="L81" i="21"/>
  <c r="L81" i="22" s="1"/>
  <c r="L82" i="21"/>
  <c r="L82" i="22" s="1"/>
  <c r="M83" i="21"/>
  <c r="M83" i="22" s="1"/>
  <c r="M81" i="21"/>
  <c r="M81" i="22" s="1"/>
  <c r="M82" i="21"/>
  <c r="M82" i="22" s="1"/>
  <c r="K81" i="21"/>
  <c r="K81" i="22" s="1"/>
  <c r="K82" i="21"/>
  <c r="K82" i="22" s="1"/>
  <c r="G78" i="22"/>
  <c r="N82" i="21"/>
  <c r="N82" i="22" s="1"/>
  <c r="N83" i="21"/>
  <c r="N83" i="22" s="1"/>
  <c r="R82" i="21"/>
  <c r="R82" i="22" s="1"/>
  <c r="R83" i="21"/>
  <c r="R83" i="22" s="1"/>
  <c r="J82" i="21"/>
  <c r="J82" i="22" s="1"/>
  <c r="J83" i="21"/>
  <c r="J83" i="22" s="1"/>
  <c r="D81" i="22"/>
  <c r="AB78" i="22"/>
  <c r="AC78" i="22"/>
  <c r="U78" i="22"/>
  <c r="M78" i="22"/>
  <c r="E78" i="22"/>
  <c r="AD78" i="22"/>
  <c r="Z78" i="22"/>
  <c r="V78" i="22"/>
  <c r="R78" i="22"/>
  <c r="N78" i="22"/>
  <c r="J78" i="22"/>
  <c r="F78" i="22"/>
  <c r="AG78" i="22"/>
  <c r="Y78" i="22"/>
  <c r="Q78" i="22"/>
  <c r="I78" i="22"/>
  <c r="AE78" i="22"/>
  <c r="AA78" i="22"/>
  <c r="W78" i="22"/>
  <c r="S78" i="22"/>
  <c r="O78" i="22"/>
  <c r="K78" i="22"/>
  <c r="P100" i="22"/>
  <c r="N100" i="22"/>
  <c r="O100" i="22"/>
  <c r="Q100" i="22"/>
  <c r="M100" i="22"/>
  <c r="AE67" i="22"/>
  <c r="AD72" i="22"/>
  <c r="AF67" i="22"/>
  <c r="AG66" i="22"/>
  <c r="AC66" i="22"/>
  <c r="AD65" i="22"/>
  <c r="AG12" i="21"/>
  <c r="AG12" i="22" s="1"/>
  <c r="AC12" i="21"/>
  <c r="AC12" i="22" s="1"/>
  <c r="AE72" i="22"/>
  <c r="AG67" i="22"/>
  <c r="AC67" i="22"/>
  <c r="AD66" i="22"/>
  <c r="AE65" i="22"/>
  <c r="AF60" i="22"/>
  <c r="AG59" i="22"/>
  <c r="AC59" i="22"/>
  <c r="AD12" i="21"/>
  <c r="AD12" i="22" s="1"/>
  <c r="AE59" i="22"/>
  <c r="F12" i="21"/>
  <c r="F12" i="22" s="1"/>
  <c r="S12" i="21"/>
  <c r="S12" i="22" s="1"/>
  <c r="K72" i="22"/>
  <c r="K100" i="22" s="1"/>
  <c r="X60" i="22"/>
  <c r="AA12" i="21"/>
  <c r="AA12" i="22" s="1"/>
  <c r="V72" i="22"/>
  <c r="V100" i="22" s="1"/>
  <c r="X65" i="22"/>
  <c r="F72" i="22"/>
  <c r="F100" i="22" s="1"/>
  <c r="AA65" i="22"/>
  <c r="J12" i="21"/>
  <c r="J12" i="22" s="1"/>
  <c r="Z72" i="22"/>
  <c r="R72" i="22"/>
  <c r="R100" i="22" s="1"/>
  <c r="G72" i="22"/>
  <c r="G100" i="22" s="1"/>
  <c r="W12" i="21"/>
  <c r="W12" i="22" s="1"/>
  <c r="X67" i="22"/>
  <c r="W72" i="22"/>
  <c r="V12" i="21"/>
  <c r="V12" i="22" s="1"/>
  <c r="AA72" i="22"/>
  <c r="S72" i="22"/>
  <c r="S100" i="22" s="1"/>
  <c r="J72" i="22"/>
  <c r="J100" i="22" s="1"/>
  <c r="Y66" i="22"/>
  <c r="AA59" i="22"/>
  <c r="Z12" i="21"/>
  <c r="Z12" i="22" s="1"/>
  <c r="R12" i="21"/>
  <c r="R12" i="22" s="1"/>
  <c r="Y12" i="21"/>
  <c r="Y12" i="22" s="1"/>
  <c r="Y72" i="22"/>
  <c r="U12" i="21"/>
  <c r="U12" i="22" s="1"/>
  <c r="U72" i="22"/>
  <c r="U100" i="22" s="1"/>
  <c r="L12" i="21"/>
  <c r="L12" i="22" s="1"/>
  <c r="L72" i="22"/>
  <c r="L100" i="22" s="1"/>
  <c r="H12" i="21"/>
  <c r="H12" i="22" s="1"/>
  <c r="H72" i="22"/>
  <c r="H100" i="22" s="1"/>
  <c r="D12" i="21"/>
  <c r="D12" i="22" s="1"/>
  <c r="D72" i="22"/>
  <c r="D100" i="22" s="1"/>
  <c r="W66" i="22"/>
  <c r="W67" i="22"/>
  <c r="AB67" i="22"/>
  <c r="AB65" i="22"/>
  <c r="W60" i="22"/>
  <c r="X66" i="22"/>
  <c r="W65" i="22"/>
  <c r="G12" i="21"/>
  <c r="G12" i="22" s="1"/>
  <c r="AB12" i="21"/>
  <c r="AB12" i="22" s="1"/>
  <c r="AB72" i="22"/>
  <c r="X12" i="21"/>
  <c r="X12" i="22" s="1"/>
  <c r="X72" i="22"/>
  <c r="T12" i="21"/>
  <c r="T12" i="22" s="1"/>
  <c r="T72" i="22"/>
  <c r="T100" i="22" s="1"/>
  <c r="Z60" i="22"/>
  <c r="Z65" i="22"/>
  <c r="Z66" i="22"/>
  <c r="Z67" i="22"/>
  <c r="Y67" i="22"/>
  <c r="AB66" i="22"/>
  <c r="AB60" i="22"/>
  <c r="K12" i="21"/>
  <c r="K12" i="22" s="1"/>
  <c r="Y65" i="22"/>
  <c r="Y60" i="22"/>
  <c r="I72" i="22"/>
  <c r="I100" i="22" s="1"/>
  <c r="E72" i="22"/>
  <c r="E100" i="22" s="1"/>
  <c r="AA67" i="22"/>
  <c r="AF100" i="22" l="1"/>
  <c r="AE100" i="22"/>
  <c r="AD100" i="22"/>
  <c r="Y100" i="22"/>
  <c r="Z100" i="22"/>
  <c r="X100" i="22"/>
  <c r="W100" i="22"/>
  <c r="AA100" i="22"/>
  <c r="AG100" i="22"/>
  <c r="AB100" i="22"/>
  <c r="AC100" i="22"/>
  <c r="D7" i="4" l="1"/>
  <c r="L12" i="4" l="1"/>
  <c r="L8" i="4"/>
  <c r="H96" i="22" l="1"/>
  <c r="H76" i="22" s="1"/>
  <c r="H102" i="22" s="1"/>
  <c r="H101" i="22" s="1"/>
  <c r="L96" i="22"/>
  <c r="L76" i="22" s="1"/>
  <c r="L102" i="22" s="1"/>
  <c r="L101" i="22" s="1"/>
  <c r="P96" i="22"/>
  <c r="P76" i="22" s="1"/>
  <c r="P102" i="22" s="1"/>
  <c r="P101" i="22" s="1"/>
  <c r="T96" i="22"/>
  <c r="T76" i="22" s="1"/>
  <c r="T102" i="22" s="1"/>
  <c r="T101" i="22" s="1"/>
  <c r="X96" i="22"/>
  <c r="X76" i="22" s="1"/>
  <c r="X102" i="22" s="1"/>
  <c r="X101" i="22" s="1"/>
  <c r="AB96" i="22"/>
  <c r="AB76" i="22" s="1"/>
  <c r="AB102" i="22" s="1"/>
  <c r="AB101" i="22" s="1"/>
  <c r="AF96" i="22"/>
  <c r="AF76" i="22" s="1"/>
  <c r="AF102" i="22" s="1"/>
  <c r="M96" i="22"/>
  <c r="M76" i="22" s="1"/>
  <c r="M102" i="22" s="1"/>
  <c r="M101" i="22" s="1"/>
  <c r="Y96" i="22"/>
  <c r="Y76" i="22" s="1"/>
  <c r="Y102" i="22" s="1"/>
  <c r="Y101" i="22" s="1"/>
  <c r="G96" i="22"/>
  <c r="G76" i="22" s="1"/>
  <c r="G102" i="22" s="1"/>
  <c r="K96" i="22"/>
  <c r="K76" i="22" s="1"/>
  <c r="K102" i="22" s="1"/>
  <c r="K101" i="22" s="1"/>
  <c r="O96" i="22"/>
  <c r="O76" i="22" s="1"/>
  <c r="O102" i="22" s="1"/>
  <c r="O101" i="22" s="1"/>
  <c r="S96" i="22"/>
  <c r="S76" i="22" s="1"/>
  <c r="S102" i="22" s="1"/>
  <c r="S101" i="22" s="1"/>
  <c r="W96" i="22"/>
  <c r="W76" i="22" s="1"/>
  <c r="W102" i="22" s="1"/>
  <c r="AA96" i="22"/>
  <c r="AA76" i="22" s="1"/>
  <c r="AA102" i="22" s="1"/>
  <c r="AE96" i="22"/>
  <c r="AE76" i="22" s="1"/>
  <c r="AE102" i="22" s="1"/>
  <c r="AE101" i="22" s="1"/>
  <c r="E96" i="22"/>
  <c r="E76" i="22" s="1"/>
  <c r="E102" i="22" s="1"/>
  <c r="E101" i="22" s="1"/>
  <c r="Q96" i="22"/>
  <c r="Q76" i="22" s="1"/>
  <c r="Q102" i="22" s="1"/>
  <c r="Q101" i="22" s="1"/>
  <c r="AG96" i="22"/>
  <c r="AG76" i="22" s="1"/>
  <c r="AG102" i="22" s="1"/>
  <c r="AG101" i="22" s="1"/>
  <c r="F96" i="22"/>
  <c r="F76" i="22" s="1"/>
  <c r="F102" i="22" s="1"/>
  <c r="F101" i="22" s="1"/>
  <c r="J96" i="22"/>
  <c r="J76" i="22" s="1"/>
  <c r="J102" i="22" s="1"/>
  <c r="J101" i="22" s="1"/>
  <c r="N96" i="22"/>
  <c r="N76" i="22" s="1"/>
  <c r="N102" i="22" s="1"/>
  <c r="N101" i="22" s="1"/>
  <c r="R96" i="22"/>
  <c r="R76" i="22" s="1"/>
  <c r="R102" i="22" s="1"/>
  <c r="R101" i="22" s="1"/>
  <c r="V96" i="22"/>
  <c r="V76" i="22" s="1"/>
  <c r="V102" i="22" s="1"/>
  <c r="V101" i="22" s="1"/>
  <c r="Z96" i="22"/>
  <c r="Z76" i="22" s="1"/>
  <c r="Z102" i="22" s="1"/>
  <c r="AD96" i="22"/>
  <c r="AD76" i="22" s="1"/>
  <c r="AD102" i="22" s="1"/>
  <c r="D96" i="22"/>
  <c r="D76" i="22" s="1"/>
  <c r="D102" i="22" s="1"/>
  <c r="D101" i="22" s="1"/>
  <c r="I96" i="22"/>
  <c r="I76" i="22" s="1"/>
  <c r="I102" i="22" s="1"/>
  <c r="I101" i="22" s="1"/>
  <c r="U96" i="22"/>
  <c r="U76" i="22" s="1"/>
  <c r="U102" i="22" s="1"/>
  <c r="U101" i="22" s="1"/>
  <c r="AC96" i="22"/>
  <c r="AC76" i="22" s="1"/>
  <c r="AC102" i="22" s="1"/>
  <c r="AC101" i="22" s="1"/>
  <c r="H89" i="22"/>
  <c r="L89" i="22"/>
  <c r="P89" i="22"/>
  <c r="T89" i="22"/>
  <c r="X89" i="22"/>
  <c r="AB89" i="22"/>
  <c r="AF89" i="22"/>
  <c r="U89" i="22"/>
  <c r="AG89" i="22"/>
  <c r="AG97" i="22" s="1"/>
  <c r="G89" i="22"/>
  <c r="K89" i="22"/>
  <c r="O89" i="22"/>
  <c r="S89" i="22"/>
  <c r="W89" i="22"/>
  <c r="AA89" i="22"/>
  <c r="AE89" i="22"/>
  <c r="E89" i="22"/>
  <c r="Q89" i="22"/>
  <c r="AC89" i="22"/>
  <c r="F89" i="22"/>
  <c r="J89" i="22"/>
  <c r="N89" i="22"/>
  <c r="R89" i="22"/>
  <c r="V89" i="22"/>
  <c r="Z89" i="22"/>
  <c r="AD89" i="22"/>
  <c r="D89" i="22"/>
  <c r="I89" i="22"/>
  <c r="M89" i="22"/>
  <c r="Y89" i="22"/>
  <c r="D29" i="4"/>
  <c r="AD97" i="22" l="1"/>
  <c r="AD104" i="22" s="1"/>
  <c r="N97" i="22"/>
  <c r="Q97" i="22"/>
  <c r="Q104" i="22" s="1"/>
  <c r="W97" i="22"/>
  <c r="W104" i="22" s="1"/>
  <c r="G97" i="22"/>
  <c r="G104" i="22" s="1"/>
  <c r="Z97" i="22"/>
  <c r="Z104" i="22" s="1"/>
  <c r="J97" i="22"/>
  <c r="J104" i="22" s="1"/>
  <c r="E97" i="22"/>
  <c r="E104" i="22" s="1"/>
  <c r="S97" i="22"/>
  <c r="S104" i="22" s="1"/>
  <c r="U97" i="22"/>
  <c r="U104" i="22" s="1"/>
  <c r="N104" i="22"/>
  <c r="I97" i="22"/>
  <c r="I104" i="22" s="1"/>
  <c r="V97" i="22"/>
  <c r="V104" i="22" s="1"/>
  <c r="F97" i="22"/>
  <c r="F104" i="22" s="1"/>
  <c r="AE97" i="22"/>
  <c r="AE104" i="22" s="1"/>
  <c r="O97" i="22"/>
  <c r="O104" i="22" s="1"/>
  <c r="D97" i="22"/>
  <c r="D104" i="22" s="1"/>
  <c r="R97" i="22"/>
  <c r="R104" i="22" s="1"/>
  <c r="AA97" i="22"/>
  <c r="AA104" i="22" s="1"/>
  <c r="K97" i="22"/>
  <c r="K104" i="22" s="1"/>
  <c r="AF97" i="22"/>
  <c r="AF104" i="22" s="1"/>
  <c r="P97" i="22"/>
  <c r="P104" i="22" s="1"/>
  <c r="M97" i="22"/>
  <c r="M104" i="22" s="1"/>
  <c r="T97" i="22"/>
  <c r="T104" i="22" s="1"/>
  <c r="AC97" i="22"/>
  <c r="AC104" i="22" s="1"/>
  <c r="AB97" i="22"/>
  <c r="AB104" i="22" s="1"/>
  <c r="L97" i="22"/>
  <c r="L104" i="22" s="1"/>
  <c r="AG104" i="22"/>
  <c r="AD101" i="22"/>
  <c r="W101" i="22"/>
  <c r="G101" i="22"/>
  <c r="Y97" i="22"/>
  <c r="Y104" i="22" s="1"/>
  <c r="X97" i="22"/>
  <c r="X104" i="22" s="1"/>
  <c r="H97" i="22"/>
  <c r="H104" i="22" s="1"/>
  <c r="Z101" i="22"/>
  <c r="AA101" i="22"/>
  <c r="AF101" i="22"/>
  <c r="C106" i="22" l="1"/>
  <c r="G7" i="14" l="1"/>
  <c r="H7" i="14" s="1"/>
</calcChain>
</file>

<file path=xl/sharedStrings.xml><?xml version="1.0" encoding="utf-8"?>
<sst xmlns="http://schemas.openxmlformats.org/spreadsheetml/2006/main" count="537" uniqueCount="242">
  <si>
    <t>Unit</t>
  </si>
  <si>
    <t>Formic acid</t>
  </si>
  <si>
    <t>unit</t>
  </si>
  <si>
    <t>kg</t>
  </si>
  <si>
    <t>Rp/kg</t>
  </si>
  <si>
    <t>Rp/unit</t>
  </si>
  <si>
    <t>Rupiah</t>
  </si>
  <si>
    <t>kg/ha</t>
  </si>
  <si>
    <t>Rp/liter</t>
  </si>
  <si>
    <t>Pupuk</t>
  </si>
  <si>
    <t>Round Up</t>
  </si>
  <si>
    <t>Harga Privat</t>
  </si>
  <si>
    <t>Peralatan</t>
  </si>
  <si>
    <t>Pisau sadap</t>
  </si>
  <si>
    <t>Ember karet</t>
  </si>
  <si>
    <t>Kayu karet</t>
  </si>
  <si>
    <t>Rp/m3</t>
  </si>
  <si>
    <t>Rp/botol</t>
  </si>
  <si>
    <t>Mangkok penampung (latex cup)</t>
  </si>
  <si>
    <t>Result</t>
  </si>
  <si>
    <t>Rp/btng</t>
  </si>
  <si>
    <t>Karet lokal</t>
  </si>
  <si>
    <t>Bak penampung</t>
  </si>
  <si>
    <t>Padi/Gabah</t>
  </si>
  <si>
    <t>Padi</t>
  </si>
  <si>
    <t xml:space="preserve">Durian </t>
  </si>
  <si>
    <t xml:space="preserve">Jengkol </t>
  </si>
  <si>
    <t>Rp/btr</t>
  </si>
  <si>
    <t>Duku</t>
  </si>
  <si>
    <t>Rp</t>
  </si>
  <si>
    <t>Prices</t>
  </si>
  <si>
    <t>Labor (Rp/psday)</t>
  </si>
  <si>
    <t>Chilly (Rp/kg)</t>
  </si>
  <si>
    <t>Cinnamon (Rp/kg)</t>
  </si>
  <si>
    <t>Coffee (Rp/kg)</t>
  </si>
  <si>
    <t>Private d.r (%)</t>
  </si>
  <si>
    <t>Xrate (Rp/US$)</t>
  </si>
  <si>
    <t>Landuse Profitability</t>
  </si>
  <si>
    <t>Location: Jambi (Bungo, Kerinci)</t>
  </si>
  <si>
    <t>Based year</t>
  </si>
  <si>
    <t>NPV ($/ha)</t>
  </si>
  <si>
    <t>Landuse</t>
  </si>
  <si>
    <t>NPV (Rp/ha)</t>
  </si>
  <si>
    <t>RtL ($/psday)</t>
  </si>
  <si>
    <t>RtL (Rp/psday)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</si>
  <si>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</si>
  <si>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</si>
  <si>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</si>
  <si>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</si>
  <si>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</si>
  <si>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</si>
  <si>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</si>
  <si>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</si>
  <si>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</si>
  <si>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</si>
  <si>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y11</t>
  </si>
  <si>
    <t>y12</t>
  </si>
  <si>
    <t>y13</t>
  </si>
  <si>
    <t>y14</t>
  </si>
  <si>
    <t>y15</t>
  </si>
  <si>
    <t>y16</t>
  </si>
  <si>
    <t>y17</t>
  </si>
  <si>
    <t>y18</t>
  </si>
  <si>
    <t>y19</t>
  </si>
  <si>
    <t>y20</t>
  </si>
  <si>
    <t>y21</t>
  </si>
  <si>
    <t>y22</t>
  </si>
  <si>
    <t>y23</t>
  </si>
  <si>
    <t>y24</t>
  </si>
  <si>
    <t>y25</t>
  </si>
  <si>
    <t>y26</t>
  </si>
  <si>
    <t>y27</t>
  </si>
  <si>
    <t>y28</t>
  </si>
  <si>
    <t>y29</t>
  </si>
  <si>
    <t>y30</t>
  </si>
  <si>
    <t xml:space="preserve">Chilly </t>
  </si>
  <si>
    <t xml:space="preserve">Coffee </t>
  </si>
  <si>
    <t>TRADABLE INPUT</t>
  </si>
  <si>
    <t>Harvesting</t>
  </si>
  <si>
    <t>CAPITAL</t>
  </si>
  <si>
    <t>YIELD</t>
  </si>
  <si>
    <t>Labor</t>
  </si>
  <si>
    <t>LABOR</t>
  </si>
  <si>
    <t>NPK</t>
  </si>
  <si>
    <t>Kompos</t>
  </si>
  <si>
    <t>Padi binmas</t>
  </si>
  <si>
    <t>Surplus</t>
  </si>
  <si>
    <t>note paddy</t>
  </si>
  <si>
    <t>1. cek tenaga kerja =&gt; traktor</t>
  </si>
  <si>
    <t>2. cek pembibitan</t>
  </si>
  <si>
    <t>3. harga pupuk</t>
  </si>
  <si>
    <t>Komoditas</t>
  </si>
  <si>
    <t>Sprayer</t>
  </si>
  <si>
    <t>Tools</t>
  </si>
  <si>
    <t>5. cek info herbisida</t>
  </si>
  <si>
    <t>Planting materials</t>
  </si>
  <si>
    <t>Polybags (190 pcs per kg)</t>
  </si>
  <si>
    <t>poison</t>
  </si>
  <si>
    <t>pig trap material (wire)</t>
  </si>
  <si>
    <t>fences (wire)</t>
  </si>
  <si>
    <t>Poles</t>
  </si>
  <si>
    <t>sharpening  stone</t>
  </si>
  <si>
    <t>boot / plastic shoes</t>
  </si>
  <si>
    <t>wire (for cup hangers)</t>
  </si>
  <si>
    <t>latex bucket</t>
  </si>
  <si>
    <t>axe</t>
  </si>
  <si>
    <t>nails</t>
  </si>
  <si>
    <t>latex cup (coconut shell)</t>
  </si>
  <si>
    <t>latex  spout (leave or any material available)</t>
  </si>
  <si>
    <t>slab moulder</t>
  </si>
  <si>
    <t>ps-d/ha</t>
  </si>
  <si>
    <t>weeding</t>
  </si>
  <si>
    <t>fertilizing</t>
  </si>
  <si>
    <t>IO Table</t>
  </si>
  <si>
    <t>Farm Budget</t>
  </si>
  <si>
    <t>Harga</t>
  </si>
  <si>
    <t>KCL</t>
  </si>
  <si>
    <t>MOP</t>
  </si>
  <si>
    <t>Furadan</t>
  </si>
  <si>
    <t>Rp/budding</t>
  </si>
  <si>
    <t>Rp/tube</t>
  </si>
  <si>
    <t>Rp/roll</t>
  </si>
  <si>
    <t>Rp/pair</t>
  </si>
  <si>
    <t>other timber</t>
  </si>
  <si>
    <t>Rp/m4</t>
  </si>
  <si>
    <t>Cinnamon</t>
  </si>
  <si>
    <t>IO items</t>
  </si>
  <si>
    <t>Cangkul (hoe)</t>
  </si>
  <si>
    <t>Kapak (axe)</t>
  </si>
  <si>
    <t>Golok (machete)</t>
  </si>
  <si>
    <t>Sprayer (Solo , Germany)</t>
  </si>
  <si>
    <r>
      <t>Kayu manis (</t>
    </r>
    <r>
      <rPr>
        <i/>
        <sz val="8"/>
        <rFont val="Arial"/>
        <family val="2"/>
      </rPr>
      <t>Cinnamomum burmanii)</t>
    </r>
  </si>
  <si>
    <t>sprouts/ha</t>
  </si>
  <si>
    <t>Land clearings</t>
  </si>
  <si>
    <t>Planting</t>
  </si>
  <si>
    <t>Crop care</t>
  </si>
  <si>
    <t>Transport from field</t>
  </si>
  <si>
    <t>Felling, Barking and Cleaning the bark</t>
  </si>
  <si>
    <t xml:space="preserve">Drying </t>
  </si>
  <si>
    <t>Post harvest activities</t>
  </si>
  <si>
    <t>Transport services from field</t>
  </si>
  <si>
    <t>Drying service</t>
  </si>
  <si>
    <t>A Quality</t>
  </si>
  <si>
    <t>B Quality</t>
  </si>
  <si>
    <t>C Quality</t>
  </si>
  <si>
    <t>Skenario Perkembangan Kebun :</t>
  </si>
  <si>
    <t>Pada tahun ke 3 tanaman muda sudah tidak ditanam lagi pada kebun campuran dan digantikan dengan tanaman kopi yang mulai berbuah</t>
  </si>
  <si>
    <t>Parang (machete)</t>
  </si>
  <si>
    <t>Rp/stump</t>
  </si>
  <si>
    <t>Cinnamon  A</t>
  </si>
  <si>
    <t>Cinnamon  B</t>
  </si>
  <si>
    <t>Cinnamon  C</t>
  </si>
  <si>
    <t>Cost</t>
  </si>
  <si>
    <t>Total</t>
  </si>
  <si>
    <t>Non Labor</t>
  </si>
  <si>
    <t>Inputs</t>
  </si>
  <si>
    <t xml:space="preserve">Clonal Rubber </t>
  </si>
  <si>
    <t>Fee, service</t>
  </si>
  <si>
    <t>Cinn. Transport services from field</t>
  </si>
  <si>
    <t>Cinn. Drying service</t>
  </si>
  <si>
    <t>Cinn. Felling, Barking &amp; Cleaning</t>
  </si>
  <si>
    <t>nPV</t>
  </si>
  <si>
    <t xml:space="preserve"> 0.4 bagian adalah untuk menyemprot cabai</t>
  </si>
  <si>
    <r>
      <t>Kopi (</t>
    </r>
    <r>
      <rPr>
        <i/>
        <sz val="8"/>
        <rFont val="Arial"/>
        <family val="2"/>
      </rPr>
      <t>Coffea robusta</t>
    </r>
    <r>
      <rPr>
        <sz val="8"/>
        <rFont val="Arial"/>
        <family val="2"/>
      </rPr>
      <t>)</t>
    </r>
  </si>
  <si>
    <t>Fruits</t>
  </si>
  <si>
    <t>Spice (Bark)</t>
  </si>
  <si>
    <t>Cabai Merah</t>
  </si>
  <si>
    <t>Vegetables</t>
  </si>
  <si>
    <t>Nyantang****)</t>
  </si>
  <si>
    <t>Transport services from field****)</t>
  </si>
  <si>
    <t>Coffee hulling services ***)</t>
  </si>
  <si>
    <t>LAND</t>
  </si>
  <si>
    <t>Coffee (drying)</t>
  </si>
  <si>
    <t>Penjarangan (Thinning)</t>
  </si>
  <si>
    <t>branches cutting (Ngeranting)</t>
  </si>
  <si>
    <t>old branches cutting (rejuvenation)</t>
  </si>
  <si>
    <t>land conservation (rorak)</t>
  </si>
  <si>
    <t>top stem cutting (Pungkak)</t>
  </si>
  <si>
    <t>pruning* :</t>
  </si>
  <si>
    <t>cleaning the buds</t>
  </si>
  <si>
    <t>spraying</t>
  </si>
  <si>
    <t>weeding (koret)</t>
  </si>
  <si>
    <t>replanting</t>
  </si>
  <si>
    <t>Cabai</t>
  </si>
  <si>
    <t>Hoeing 2</t>
  </si>
  <si>
    <t>Hoeing 1</t>
  </si>
  <si>
    <r>
      <t>Cabai Merah (</t>
    </r>
    <r>
      <rPr>
        <i/>
        <sz val="8"/>
        <rFont val="Arial"/>
        <family val="2"/>
      </rPr>
      <t>chili)</t>
    </r>
  </si>
  <si>
    <t>Nursery</t>
  </si>
  <si>
    <t>hoeing 2</t>
  </si>
  <si>
    <t>hoeing 1</t>
  </si>
  <si>
    <t xml:space="preserve"> cleaning</t>
  </si>
  <si>
    <t xml:space="preserve">first burning </t>
  </si>
  <si>
    <t>slashing and tree cutting</t>
  </si>
  <si>
    <t>stumps/ha</t>
  </si>
  <si>
    <t>Karung Goni (sack)</t>
  </si>
  <si>
    <t>Sabit (sickle)</t>
  </si>
  <si>
    <t>Fertilizer</t>
  </si>
  <si>
    <t>Cinnamon with coffee</t>
  </si>
  <si>
    <t>Coffee-cinn.</t>
  </si>
  <si>
    <t xml:space="preserve">Cabai Merah (10 bulan) </t>
  </si>
  <si>
    <t xml:space="preserve">Cabai </t>
  </si>
  <si>
    <t>Coffee</t>
  </si>
  <si>
    <t>Sambit (sickle)</t>
  </si>
  <si>
    <t>Karung (sack)</t>
  </si>
  <si>
    <t>RP/unit</t>
  </si>
  <si>
    <t>REVENUE</t>
  </si>
  <si>
    <t>Felling, Barking and Cleaning</t>
  </si>
  <si>
    <t>Coffee huling service</t>
  </si>
  <si>
    <t>Chilly trannsport service</t>
  </si>
  <si>
    <t>Coffee transport service</t>
  </si>
  <si>
    <t>note cinnamon</t>
  </si>
  <si>
    <t>cek harga, psday</t>
  </si>
  <si>
    <t>Rp/karung</t>
  </si>
  <si>
    <t>Rp/sack</t>
  </si>
  <si>
    <t>ZA/Urea</t>
  </si>
  <si>
    <t>NPK Phonska</t>
  </si>
  <si>
    <t>SP /TSP</t>
  </si>
  <si>
    <t>Manure/kandang</t>
  </si>
  <si>
    <t>Mulsa</t>
  </si>
  <si>
    <t>Rp/packs</t>
  </si>
  <si>
    <t>Ajir (stick) bamboo</t>
  </si>
  <si>
    <t>Polybag</t>
  </si>
  <si>
    <t>Rope</t>
  </si>
  <si>
    <t>Chemical</t>
  </si>
  <si>
    <t>Rp/btl</t>
  </si>
  <si>
    <t>Decis 50 ml</t>
  </si>
  <si>
    <t>Atonik 100 ml</t>
  </si>
  <si>
    <t xml:space="preserve">Regent </t>
  </si>
  <si>
    <t>Growmore/Gandasil</t>
  </si>
  <si>
    <t>Rp/box</t>
  </si>
  <si>
    <t>Antracol WP</t>
  </si>
  <si>
    <t>Demolish 50 ml</t>
  </si>
  <si>
    <t>Pegasus 80 ml</t>
  </si>
  <si>
    <t>Score 80 ml</t>
  </si>
  <si>
    <t>Cabai Merah (chili)</t>
  </si>
  <si>
    <t>Kayu manis (Cinnamomum burmanii)</t>
  </si>
  <si>
    <r>
      <t>Kopi (Coffea robusta</t>
    </r>
    <r>
      <rPr>
        <sz val="8"/>
        <rFont val="Calibri"/>
        <family val="2"/>
        <scheme val="minor"/>
      </rPr>
      <t>)</t>
    </r>
  </si>
  <si>
    <r>
      <t>Kopi (</t>
    </r>
    <r>
      <rPr>
        <i/>
        <sz val="8"/>
        <rFont val="Calibri"/>
        <family val="2"/>
        <scheme val="minor"/>
      </rPr>
      <t>Coffea robusta</t>
    </r>
    <r>
      <rPr>
        <sz val="8"/>
        <rFont val="Calibri"/>
        <family val="2"/>
        <scheme val="minor"/>
      </rPr>
      <t>)</t>
    </r>
  </si>
  <si>
    <r>
      <t>Kayu manis (</t>
    </r>
    <r>
      <rPr>
        <i/>
        <sz val="8"/>
        <rFont val="Calibri"/>
        <family val="2"/>
        <scheme val="minor"/>
      </rPr>
      <t>Cinnamomum burmanii)</t>
    </r>
  </si>
  <si>
    <r>
      <t>Angka pertama menunjukkan jumlah hasil setiap kualitas yang diperoleh (</t>
    </r>
    <r>
      <rPr>
        <i/>
        <sz val="8"/>
        <rFont val="Calibri"/>
        <family val="2"/>
        <scheme val="minor"/>
      </rPr>
      <t>The first figure represent the amount of every quality that gained from harvesting activity</t>
    </r>
    <r>
      <rPr>
        <sz val="8"/>
        <rFont val="Calibri"/>
        <family val="2"/>
        <scheme val="minor"/>
      </rPr>
      <t xml:space="preserve">) </t>
    </r>
  </si>
  <si>
    <r>
      <t>Angka kedua (0.4) adalah faktor konversi dari berat basah ke berat kering (T</t>
    </r>
    <r>
      <rPr>
        <i/>
        <sz val="8"/>
        <rFont val="Calibri"/>
        <family val="2"/>
        <scheme val="minor"/>
      </rPr>
      <t>he secound figure is a convertion factor from wet bark to dry bark</t>
    </r>
    <r>
      <rPr>
        <sz val="8"/>
        <rFont val="Calibri"/>
        <family val="2"/>
        <scheme val="minor"/>
      </rPr>
      <t>)</t>
    </r>
  </si>
  <si>
    <r>
      <t>Angka ketiga adalah jumlah pohon yang ditebang/dijarangi/dimanfaatkan (</t>
    </r>
    <r>
      <rPr>
        <i/>
        <sz val="8"/>
        <rFont val="Calibri"/>
        <family val="2"/>
        <scheme val="minor"/>
      </rPr>
      <t xml:space="preserve">The third figure represent the amount of harvested trees within a year)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</si>
</sst>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_(* #,##0.000_);_(* \(#,##0.000\);_(* &quot;-&quot;??_);_(@_)"/>
    <numFmt numFmtId="166" formatCode="#,##0.0_);[Red]\(#,##0.0\)"/>
  </numFmts>
  <fonts count="40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i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i/>
      <sz val="8"/>
      <name val="Arial"/>
      <family val="2"/>
    </font>
    <font>
      <b/>
      <sz val="10"/>
      <name val="ITC Avant Garde Gothic (PCL6)"/>
      <family val="2"/>
    </font>
    <font>
      <i/>
      <sz val="10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sz val="8"/>
      <name val="Comic Sans MS"/>
      <family val="4"/>
    </font>
    <font>
      <sz val="10"/>
      <name val="Comic Sans MS"/>
      <family val="4"/>
    </font>
    <font>
      <i/>
      <sz val="10"/>
      <name val="Arial Narrow"/>
      <family val="2"/>
    </font>
    <font>
      <sz val="14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u/>
      <sz val="11"/>
      <name val="Calibri"/>
      <family val="2"/>
      <scheme val="minor"/>
    </font>
    <font>
      <sz val="10"/>
      <color rgb="FF000000"/>
      <name val="Arial"/>
      <family val="2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b/>
      <i/>
      <sz val="10"/>
      <name val="Calibri"/>
      <family val="2"/>
      <scheme val="minor"/>
    </font>
    <font>
      <i/>
      <sz val="8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name val="Calibri"/>
      <family val="2"/>
      <scheme val="minor"/>
    </font>
    <font>
      <sz val="8"/>
      <color indexed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</cellStyleXfs>
  <cellXfs count="144">
    <xf numFmtId="0" fontId="0" fillId="0" borderId="0" xfId="0"/>
    <xf numFmtId="0" fontId="8" fillId="2" borderId="1" xfId="0" applyFont="1" applyFill="1" applyBorder="1" applyAlignment="1" applyProtection="1">
      <alignment horizontal="center"/>
    </xf>
    <xf numFmtId="3" fontId="8" fillId="2" borderId="1" xfId="0" applyNumberFormat="1" applyFont="1" applyFill="1" applyBorder="1" applyAlignment="1">
      <alignment horizontal="center"/>
    </xf>
    <xf numFmtId="0" fontId="6" fillId="4" borderId="0" xfId="0" applyFont="1" applyFill="1" applyAlignment="1" applyProtection="1">
      <alignment horizontal="left"/>
    </xf>
    <xf numFmtId="0" fontId="4" fillId="4" borderId="0" xfId="0" applyFont="1" applyFill="1" applyAlignment="1" applyProtection="1">
      <alignment horizontal="center"/>
    </xf>
    <xf numFmtId="3" fontId="4" fillId="4" borderId="0" xfId="0" applyNumberFormat="1" applyFont="1" applyFill="1"/>
    <xf numFmtId="0" fontId="4" fillId="4" borderId="0" xfId="0" applyFont="1" applyFill="1"/>
    <xf numFmtId="0" fontId="4" fillId="4" borderId="0" xfId="0" applyFont="1" applyFill="1" applyAlignment="1">
      <alignment horizontal="center"/>
    </xf>
    <xf numFmtId="3" fontId="4" fillId="4" borderId="0" xfId="0" applyNumberFormat="1" applyFont="1" applyFill="1" applyAlignment="1" applyProtection="1">
      <alignment horizontal="right"/>
    </xf>
    <xf numFmtId="3" fontId="4" fillId="4" borderId="0" xfId="0" applyNumberFormat="1" applyFont="1" applyFill="1" applyAlignment="1">
      <alignment horizontal="center"/>
    </xf>
    <xf numFmtId="0" fontId="4" fillId="4" borderId="1" xfId="0" applyFont="1" applyFill="1" applyBorder="1" applyAlignment="1" applyProtection="1">
      <alignment horizontal="center"/>
    </xf>
    <xf numFmtId="3" fontId="4" fillId="4" borderId="1" xfId="0" applyNumberFormat="1" applyFont="1" applyFill="1" applyBorder="1" applyAlignment="1">
      <alignment horizontal="center"/>
    </xf>
    <xf numFmtId="0" fontId="6" fillId="4" borderId="0" xfId="2" applyFont="1" applyFill="1"/>
    <xf numFmtId="0" fontId="4" fillId="4" borderId="0" xfId="2" applyFont="1" applyFill="1"/>
    <xf numFmtId="0" fontId="4" fillId="4" borderId="0" xfId="2" applyFont="1" applyFill="1" applyBorder="1"/>
    <xf numFmtId="0" fontId="5" fillId="4" borderId="0" xfId="2" applyFont="1" applyFill="1"/>
    <xf numFmtId="0" fontId="5" fillId="4" borderId="0" xfId="2" applyFont="1" applyFill="1" applyBorder="1"/>
    <xf numFmtId="164" fontId="4" fillId="4" borderId="0" xfId="3" applyNumberFormat="1" applyFont="1" applyFill="1" applyBorder="1" applyAlignment="1">
      <alignment horizontal="center"/>
    </xf>
    <xf numFmtId="0" fontId="4" fillId="4" borderId="0" xfId="2" applyFont="1" applyFill="1" applyBorder="1" applyAlignment="1">
      <alignment horizontal="center"/>
    </xf>
    <xf numFmtId="0" fontId="4" fillId="4" borderId="0" xfId="2" applyFont="1" applyFill="1" applyAlignment="1">
      <alignment horizontal="center"/>
    </xf>
    <xf numFmtId="9" fontId="4" fillId="4" borderId="0" xfId="1" applyFont="1" applyFill="1"/>
    <xf numFmtId="3" fontId="9" fillId="4" borderId="0" xfId="2" applyNumberFormat="1" applyFont="1" applyFill="1"/>
    <xf numFmtId="164" fontId="4" fillId="4" borderId="0" xfId="3" applyNumberFormat="1" applyFont="1" applyFill="1" applyAlignment="1">
      <alignment horizontal="center"/>
    </xf>
    <xf numFmtId="3" fontId="4" fillId="4" borderId="0" xfId="2" applyNumberFormat="1" applyFont="1" applyFill="1"/>
    <xf numFmtId="0" fontId="4" fillId="4" borderId="0" xfId="2" applyFont="1" applyFill="1" applyBorder="1" applyAlignment="1">
      <alignment horizontal="left" indent="1"/>
    </xf>
    <xf numFmtId="38" fontId="4" fillId="4" borderId="0" xfId="2" applyNumberFormat="1" applyFont="1" applyFill="1" applyBorder="1" applyAlignment="1">
      <alignment horizontal="right"/>
    </xf>
    <xf numFmtId="164" fontId="4" fillId="4" borderId="0" xfId="5" applyNumberFormat="1" applyFont="1" applyFill="1" applyBorder="1" applyAlignment="1">
      <alignment horizontal="center"/>
    </xf>
    <xf numFmtId="164" fontId="9" fillId="4" borderId="0" xfId="5" applyNumberFormat="1" applyFont="1" applyFill="1"/>
    <xf numFmtId="0" fontId="9" fillId="4" borderId="0" xfId="2" applyFont="1" applyFill="1" applyAlignment="1">
      <alignment horizontal="left" indent="1"/>
    </xf>
    <xf numFmtId="38" fontId="9" fillId="4" borderId="0" xfId="2" applyNumberFormat="1" applyFont="1" applyFill="1" applyAlignment="1">
      <alignment horizontal="right"/>
    </xf>
    <xf numFmtId="164" fontId="9" fillId="4" borderId="0" xfId="3" applyNumberFormat="1" applyFont="1" applyFill="1" applyAlignment="1">
      <alignment horizontal="center"/>
    </xf>
    <xf numFmtId="0" fontId="5" fillId="4" borderId="0" xfId="2" applyFont="1" applyFill="1" applyAlignment="1">
      <alignment horizontal="center"/>
    </xf>
    <xf numFmtId="3" fontId="4" fillId="4" borderId="0" xfId="2" applyNumberFormat="1" applyFont="1" applyFill="1" applyAlignment="1">
      <alignment horizontal="left"/>
    </xf>
    <xf numFmtId="0" fontId="9" fillId="4" borderId="0" xfId="2" applyFont="1" applyFill="1" applyAlignment="1">
      <alignment horizontal="right"/>
    </xf>
    <xf numFmtId="165" fontId="9" fillId="4" borderId="0" xfId="3" applyNumberFormat="1" applyFont="1" applyFill="1"/>
    <xf numFmtId="0" fontId="9" fillId="4" borderId="0" xfId="2" applyFont="1" applyFill="1"/>
    <xf numFmtId="0" fontId="10" fillId="4" borderId="0" xfId="2" applyFont="1" applyFill="1"/>
    <xf numFmtId="43" fontId="9" fillId="4" borderId="0" xfId="3" applyNumberFormat="1" applyFont="1" applyFill="1"/>
    <xf numFmtId="0" fontId="7" fillId="2" borderId="0" xfId="2" applyFont="1" applyFill="1" applyBorder="1" applyAlignment="1">
      <alignment horizontal="left"/>
    </xf>
    <xf numFmtId="0" fontId="8" fillId="2" borderId="0" xfId="2" applyFont="1" applyFill="1" applyBorder="1" applyAlignment="1">
      <alignment horizontal="center"/>
    </xf>
    <xf numFmtId="0" fontId="12" fillId="4" borderId="1" xfId="0" applyFont="1" applyFill="1" applyBorder="1" applyAlignment="1">
      <alignment horizontal="left"/>
    </xf>
    <xf numFmtId="0" fontId="3" fillId="4" borderId="1" xfId="0" applyFont="1" applyFill="1" applyBorder="1" applyAlignment="1">
      <alignment horizontal="center"/>
    </xf>
    <xf numFmtId="0" fontId="5" fillId="4" borderId="1" xfId="0" applyFont="1" applyFill="1" applyBorder="1" applyAlignment="1" applyProtection="1">
      <alignment horizontal="left"/>
    </xf>
    <xf numFmtId="0" fontId="4" fillId="4" borderId="1" xfId="0" applyFont="1" applyFill="1" applyBorder="1" applyAlignment="1" applyProtection="1">
      <alignment horizontal="left" indent="1"/>
    </xf>
    <xf numFmtId="1" fontId="4" fillId="4" borderId="0" xfId="0" applyNumberFormat="1" applyFont="1" applyFill="1"/>
    <xf numFmtId="0" fontId="4" fillId="4" borderId="1" xfId="0" applyFont="1" applyFill="1" applyBorder="1" applyAlignment="1" applyProtection="1">
      <alignment horizontal="left"/>
    </xf>
    <xf numFmtId="0" fontId="1" fillId="4" borderId="0" xfId="0" applyFont="1" applyFill="1"/>
    <xf numFmtId="0" fontId="8" fillId="5" borderId="0" xfId="2" applyFont="1" applyFill="1" applyAlignment="1">
      <alignment horizontal="center"/>
    </xf>
    <xf numFmtId="0" fontId="16" fillId="2" borderId="1" xfId="0" applyFont="1" applyFill="1" applyBorder="1" applyAlignment="1" applyProtection="1">
      <alignment horizontal="center" vertical="center"/>
    </xf>
    <xf numFmtId="0" fontId="17" fillId="2" borderId="1" xfId="0" applyFont="1" applyFill="1" applyBorder="1" applyAlignment="1" applyProtection="1">
      <alignment horizontal="center" vertical="center"/>
    </xf>
    <xf numFmtId="3" fontId="17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3" fontId="5" fillId="2" borderId="1" xfId="0" applyNumberFormat="1" applyFont="1" applyFill="1" applyBorder="1" applyAlignment="1">
      <alignment horizontal="center" wrapText="1"/>
    </xf>
    <xf numFmtId="38" fontId="3" fillId="4" borderId="1" xfId="0" applyNumberFormat="1" applyFont="1" applyFill="1" applyBorder="1"/>
    <xf numFmtId="38" fontId="3" fillId="4" borderId="0" xfId="0" applyNumberFormat="1" applyFont="1" applyFill="1"/>
    <xf numFmtId="0" fontId="19" fillId="4" borderId="0" xfId="0" applyFont="1" applyFill="1"/>
    <xf numFmtId="0" fontId="20" fillId="4" borderId="0" xfId="0" applyFont="1" applyFill="1"/>
    <xf numFmtId="0" fontId="3" fillId="4" borderId="1" xfId="0" applyFont="1" applyFill="1" applyBorder="1" applyAlignment="1">
      <alignment horizontal="center" vertical="center"/>
    </xf>
    <xf numFmtId="0" fontId="14" fillId="4" borderId="1" xfId="0" applyFont="1" applyFill="1" applyBorder="1"/>
    <xf numFmtId="0" fontId="18" fillId="4" borderId="1" xfId="0" applyFont="1" applyFill="1" applyBorder="1" applyAlignment="1">
      <alignment horizontal="right"/>
    </xf>
    <xf numFmtId="0" fontId="12" fillId="4" borderId="1" xfId="0" applyFont="1" applyFill="1" applyBorder="1"/>
    <xf numFmtId="0" fontId="3" fillId="4" borderId="1" xfId="0" applyFont="1" applyFill="1" applyBorder="1" applyAlignment="1">
      <alignment horizontal="right" vertical="center"/>
    </xf>
    <xf numFmtId="0" fontId="18" fillId="4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left" vertical="center"/>
    </xf>
    <xf numFmtId="0" fontId="12" fillId="4" borderId="1" xfId="0" applyFont="1" applyFill="1" applyBorder="1" applyAlignment="1">
      <alignment horizontal="left" vertical="center" wrapText="1"/>
    </xf>
    <xf numFmtId="3" fontId="3" fillId="4" borderId="1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18" fillId="4" borderId="1" xfId="0" applyFont="1" applyFill="1" applyBorder="1"/>
    <xf numFmtId="0" fontId="18" fillId="4" borderId="1" xfId="0" applyFont="1" applyFill="1" applyBorder="1" applyAlignment="1">
      <alignment horizontal="left" vertical="center"/>
    </xf>
    <xf numFmtId="0" fontId="21" fillId="2" borderId="1" xfId="0" applyFont="1" applyFill="1" applyBorder="1"/>
    <xf numFmtId="0" fontId="22" fillId="2" borderId="1" xfId="0" applyFont="1" applyFill="1" applyBorder="1"/>
    <xf numFmtId="38" fontId="23" fillId="2" borderId="1" xfId="0" applyNumberFormat="1" applyFont="1" applyFill="1" applyBorder="1"/>
    <xf numFmtId="0" fontId="18" fillId="4" borderId="1" xfId="0" applyFont="1" applyFill="1" applyBorder="1" applyAlignment="1">
      <alignment horizontal="left" indent="1"/>
    </xf>
    <xf numFmtId="0" fontId="18" fillId="4" borderId="1" xfId="0" applyFont="1" applyFill="1" applyBorder="1" applyAlignment="1">
      <alignment horizontal="left" indent="2"/>
    </xf>
    <xf numFmtId="0" fontId="3" fillId="4" borderId="1" xfId="0" applyFont="1" applyFill="1" applyBorder="1" applyAlignment="1">
      <alignment horizontal="left" vertical="center" indent="1"/>
    </xf>
    <xf numFmtId="0" fontId="1" fillId="4" borderId="0" xfId="0" applyFont="1" applyFill="1" applyAlignment="1">
      <alignment vertical="center"/>
    </xf>
    <xf numFmtId="38" fontId="3" fillId="4" borderId="1" xfId="0" applyNumberFormat="1" applyFont="1" applyFill="1" applyBorder="1" applyAlignment="1">
      <alignment vertical="center"/>
    </xf>
    <xf numFmtId="38" fontId="3" fillId="4" borderId="0" xfId="0" applyNumberFormat="1" applyFont="1" applyFill="1" applyAlignment="1">
      <alignment vertical="center"/>
    </xf>
    <xf numFmtId="0" fontId="4" fillId="4" borderId="1" xfId="0" applyFont="1" applyFill="1" applyBorder="1"/>
    <xf numFmtId="1" fontId="4" fillId="4" borderId="1" xfId="0" applyNumberFormat="1" applyFont="1" applyFill="1" applyBorder="1"/>
    <xf numFmtId="0" fontId="4" fillId="4" borderId="1" xfId="0" applyFont="1" applyFill="1" applyBorder="1" applyAlignment="1">
      <alignment horizontal="center"/>
    </xf>
    <xf numFmtId="38" fontId="13" fillId="4" borderId="1" xfId="0" applyNumberFormat="1" applyFont="1" applyFill="1" applyBorder="1"/>
    <xf numFmtId="0" fontId="11" fillId="4" borderId="0" xfId="0" applyFont="1" applyFill="1"/>
    <xf numFmtId="0" fontId="11" fillId="4" borderId="1" xfId="0" applyFont="1" applyFill="1" applyBorder="1"/>
    <xf numFmtId="38" fontId="15" fillId="4" borderId="1" xfId="0" applyNumberFormat="1" applyFont="1" applyFill="1" applyBorder="1"/>
    <xf numFmtId="38" fontId="15" fillId="4" borderId="0" xfId="0" applyNumberFormat="1" applyFont="1" applyFill="1"/>
    <xf numFmtId="0" fontId="24" fillId="4" borderId="0" xfId="0" applyFont="1" applyFill="1"/>
    <xf numFmtId="0" fontId="26" fillId="4" borderId="0" xfId="0" applyFont="1" applyFill="1"/>
    <xf numFmtId="0" fontId="25" fillId="4" borderId="0" xfId="0" applyFont="1" applyFill="1"/>
    <xf numFmtId="3" fontId="3" fillId="4" borderId="1" xfId="0" applyNumberFormat="1" applyFont="1" applyFill="1" applyBorder="1" applyAlignment="1">
      <alignment horizontal="center" vertical="center"/>
    </xf>
    <xf numFmtId="3" fontId="3" fillId="4" borderId="1" xfId="0" applyNumberFormat="1" applyFont="1" applyFill="1" applyBorder="1" applyAlignment="1">
      <alignment horizontal="center"/>
    </xf>
    <xf numFmtId="3" fontId="3" fillId="4" borderId="1" xfId="0" applyNumberFormat="1" applyFont="1" applyFill="1" applyBorder="1" applyAlignment="1">
      <alignment horizontal="center" vertical="center"/>
    </xf>
    <xf numFmtId="3" fontId="3" fillId="4" borderId="1" xfId="0" applyNumberFormat="1" applyFont="1" applyFill="1" applyBorder="1" applyAlignment="1">
      <alignment horizontal="center"/>
    </xf>
    <xf numFmtId="0" fontId="27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left" vertical="center"/>
    </xf>
    <xf numFmtId="0" fontId="18" fillId="4" borderId="1" xfId="0" applyFont="1" applyFill="1" applyBorder="1" applyAlignment="1">
      <alignment horizontal="right" vertical="center" wrapText="1"/>
    </xf>
    <xf numFmtId="0" fontId="14" fillId="4" borderId="1" xfId="0" applyFont="1" applyFill="1" applyBorder="1" applyAlignment="1">
      <alignment horizontal="left"/>
    </xf>
    <xf numFmtId="0" fontId="4" fillId="3" borderId="1" xfId="0" applyFont="1" applyFill="1" applyBorder="1" applyAlignment="1" applyProtection="1">
      <alignment horizontal="left" indent="1"/>
    </xf>
    <xf numFmtId="38" fontId="15" fillId="4" borderId="1" xfId="0" applyNumberFormat="1" applyFont="1" applyFill="1" applyBorder="1" applyAlignment="1">
      <alignment horizontal="center"/>
    </xf>
    <xf numFmtId="0" fontId="28" fillId="4" borderId="1" xfId="0" applyFont="1" applyFill="1" applyBorder="1"/>
    <xf numFmtId="0" fontId="29" fillId="4" borderId="1" xfId="0" applyFont="1" applyFill="1" applyBorder="1"/>
    <xf numFmtId="38" fontId="30" fillId="4" borderId="1" xfId="0" applyNumberFormat="1" applyFont="1" applyFill="1" applyBorder="1"/>
    <xf numFmtId="38" fontId="30" fillId="4" borderId="0" xfId="0" applyNumberFormat="1" applyFont="1" applyFill="1"/>
    <xf numFmtId="0" fontId="29" fillId="4" borderId="0" xfId="0" applyFont="1" applyFill="1"/>
    <xf numFmtId="0" fontId="31" fillId="4" borderId="0" xfId="2" applyFont="1" applyFill="1"/>
    <xf numFmtId="0" fontId="33" fillId="4" borderId="1" xfId="0" applyFont="1" applyFill="1" applyBorder="1" applyAlignment="1">
      <alignment horizontal="center"/>
    </xf>
    <xf numFmtId="0" fontId="10" fillId="4" borderId="1" xfId="0" applyFont="1" applyFill="1" applyBorder="1" applyAlignment="1">
      <alignment horizontal="center"/>
    </xf>
    <xf numFmtId="0" fontId="10" fillId="4" borderId="1" xfId="0" applyFont="1" applyFill="1" applyBorder="1" applyAlignment="1">
      <alignment horizontal="center" vertical="center"/>
    </xf>
    <xf numFmtId="0" fontId="9" fillId="4" borderId="0" xfId="0" applyFont="1" applyFill="1"/>
    <xf numFmtId="0" fontId="34" fillId="4" borderId="1" xfId="0" applyFont="1" applyFill="1" applyBorder="1"/>
    <xf numFmtId="3" fontId="10" fillId="4" borderId="1" xfId="0" applyNumberFormat="1" applyFont="1" applyFill="1" applyBorder="1" applyAlignment="1">
      <alignment horizontal="center"/>
    </xf>
    <xf numFmtId="0" fontId="9" fillId="4" borderId="1" xfId="0" applyFont="1" applyFill="1" applyBorder="1"/>
    <xf numFmtId="0" fontId="35" fillId="4" borderId="1" xfId="0" applyFont="1" applyFill="1" applyBorder="1"/>
    <xf numFmtId="0" fontId="36" fillId="4" borderId="1" xfId="0" applyFont="1" applyFill="1" applyBorder="1" applyAlignment="1">
      <alignment horizontal="right"/>
    </xf>
    <xf numFmtId="38" fontId="10" fillId="4" borderId="1" xfId="0" applyNumberFormat="1" applyFont="1" applyFill="1" applyBorder="1"/>
    <xf numFmtId="38" fontId="10" fillId="4" borderId="0" xfId="0" applyNumberFormat="1" applyFont="1" applyFill="1"/>
    <xf numFmtId="0" fontId="36" fillId="4" borderId="1" xfId="0" applyFont="1" applyFill="1" applyBorder="1" applyAlignment="1">
      <alignment horizontal="left" indent="1"/>
    </xf>
    <xf numFmtId="0" fontId="10" fillId="4" borderId="1" xfId="0" applyFont="1" applyFill="1" applyBorder="1" applyAlignment="1">
      <alignment horizontal="right" vertical="center"/>
    </xf>
    <xf numFmtId="0" fontId="36" fillId="4" borderId="1" xfId="0" applyFont="1" applyFill="1" applyBorder="1" applyAlignment="1">
      <alignment horizontal="right" vertical="center"/>
    </xf>
    <xf numFmtId="0" fontId="35" fillId="4" borderId="1" xfId="0" applyFont="1" applyFill="1" applyBorder="1" applyAlignment="1">
      <alignment horizontal="left" vertical="center"/>
    </xf>
    <xf numFmtId="3" fontId="10" fillId="4" borderId="1" xfId="0" applyNumberFormat="1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left"/>
    </xf>
    <xf numFmtId="0" fontId="36" fillId="4" borderId="1" xfId="0" applyFont="1" applyFill="1" applyBorder="1" applyAlignment="1">
      <alignment horizontal="left" indent="2"/>
    </xf>
    <xf numFmtId="0" fontId="10" fillId="4" borderId="1" xfId="0" applyFont="1" applyFill="1" applyBorder="1" applyAlignment="1">
      <alignment horizontal="left" vertical="center"/>
    </xf>
    <xf numFmtId="166" fontId="10" fillId="4" borderId="1" xfId="0" applyNumberFormat="1" applyFont="1" applyFill="1" applyBorder="1"/>
    <xf numFmtId="166" fontId="10" fillId="4" borderId="1" xfId="0" applyNumberFormat="1" applyFont="1" applyFill="1" applyBorder="1" applyAlignment="1">
      <alignment horizontal="right"/>
    </xf>
    <xf numFmtId="38" fontId="10" fillId="4" borderId="1" xfId="0" applyNumberFormat="1" applyFont="1" applyFill="1" applyBorder="1" applyAlignment="1">
      <alignment horizontal="right"/>
    </xf>
    <xf numFmtId="0" fontId="35" fillId="4" borderId="1" xfId="0" applyFont="1" applyFill="1" applyBorder="1" applyAlignment="1">
      <alignment horizontal="left" vertical="center" wrapText="1"/>
    </xf>
    <xf numFmtId="3" fontId="10" fillId="4" borderId="1" xfId="0" applyNumberFormat="1" applyFont="1" applyFill="1" applyBorder="1" applyAlignment="1">
      <alignment horizontal="center" vertical="center" wrapText="1"/>
    </xf>
    <xf numFmtId="0" fontId="36" fillId="4" borderId="1" xfId="0" applyFont="1" applyFill="1" applyBorder="1" applyAlignment="1">
      <alignment horizontal="right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34" fillId="4" borderId="1" xfId="0" applyFont="1" applyFill="1" applyBorder="1" applyAlignment="1">
      <alignment horizontal="left"/>
    </xf>
    <xf numFmtId="0" fontId="36" fillId="4" borderId="1" xfId="0" applyFont="1" applyFill="1" applyBorder="1"/>
    <xf numFmtId="0" fontId="36" fillId="4" borderId="1" xfId="0" applyFont="1" applyFill="1" applyBorder="1" applyAlignment="1">
      <alignment horizontal="left"/>
    </xf>
    <xf numFmtId="0" fontId="36" fillId="4" borderId="1" xfId="0" applyFont="1" applyFill="1" applyBorder="1" applyAlignment="1">
      <alignment horizontal="left" vertical="center"/>
    </xf>
    <xf numFmtId="0" fontId="37" fillId="4" borderId="0" xfId="0" applyFont="1" applyFill="1"/>
    <xf numFmtId="0" fontId="38" fillId="4" borderId="0" xfId="0" applyFont="1" applyFill="1"/>
    <xf numFmtId="0" fontId="10" fillId="4" borderId="0" xfId="0" applyFont="1" applyFill="1"/>
    <xf numFmtId="38" fontId="3" fillId="0" borderId="1" xfId="0" applyNumberFormat="1" applyFont="1" applyBorder="1"/>
    <xf numFmtId="38" fontId="3" fillId="0" borderId="1" xfId="0" applyNumberFormat="1" applyFont="1" applyFill="1" applyBorder="1"/>
    <xf numFmtId="38" fontId="3" fillId="6" borderId="1" xfId="0" applyNumberFormat="1" applyFont="1" applyFill="1" applyBorder="1"/>
    <xf numFmtId="38" fontId="39" fillId="0" borderId="1" xfId="0" applyNumberFormat="1" applyFont="1" applyFill="1" applyBorder="1"/>
    <xf numFmtId="38" fontId="39" fillId="7" borderId="2" xfId="0" applyNumberFormat="1" applyFont="1" applyFill="1" applyBorder="1"/>
    <xf numFmtId="38" fontId="3" fillId="8" borderId="1" xfId="0" applyNumberFormat="1" applyFont="1" applyFill="1" applyBorder="1"/>
  </cellXfs>
  <cellStyles count="7">
    <cellStyle name="Comma" xfId="5" builtinId="3"/>
    <cellStyle name="Comma 2" xfId="3" xr:uid="{00000000-0005-0000-0000-000001000000}"/>
    <cellStyle name="Normal" xfId="0" builtinId="0"/>
    <cellStyle name="Normal 2" xfId="2" xr:uid="{00000000-0005-0000-0000-000003000000}"/>
    <cellStyle name="Normal 3" xfId="6" xr:uid="{00000000-0005-0000-0000-000004000000}"/>
    <cellStyle name="Percent" xfId="1" builtinId="5"/>
    <cellStyle name="Percent 2" xfId="4" xr:uid="{00000000-0005-0000-0000-000006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</xdr:colOff>
          <xdr:row>15</xdr:row>
          <xdr:rowOff>0</xdr:rowOff>
        </xdr:from>
        <xdr:to>
          <xdr:col>1</xdr:col>
          <xdr:colOff>777240</xdr:colOff>
          <xdr:row>16</xdr:row>
          <xdr:rowOff>144780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B1:L29"/>
  <sheetViews>
    <sheetView tabSelected="1" workbookViewId="0">
      <selection activeCell="G7" sqref="G7"/>
    </sheetView>
  </sheetViews>
  <sheetFormatPr defaultColWidth="9.109375" defaultRowHeight="14.4"/>
  <cols>
    <col min="1" max="1" width="3.109375" style="13" customWidth="1"/>
    <col min="2" max="2" width="17.5546875" style="13" customWidth="1"/>
    <col min="3" max="3" width="12.33203125" style="13" customWidth="1"/>
    <col min="4" max="4" width="8.6640625" style="13" customWidth="1"/>
    <col min="5" max="5" width="5.6640625" style="13" customWidth="1"/>
    <col min="6" max="6" width="19.33203125" style="13" customWidth="1"/>
    <col min="7" max="7" width="15.33203125" style="13" bestFit="1" customWidth="1"/>
    <col min="8" max="8" width="14" style="19" customWidth="1"/>
    <col min="9" max="9" width="15.44140625" style="19" customWidth="1"/>
    <col min="10" max="11" width="12.33203125" style="13" customWidth="1"/>
    <col min="12" max="12" width="14.33203125" style="13" customWidth="1"/>
    <col min="13" max="256" width="12.33203125" style="13" customWidth="1"/>
    <col min="257" max="16384" width="9.109375" style="13"/>
  </cols>
  <sheetData>
    <row r="1" spans="2:12" ht="18">
      <c r="B1" s="12" t="s">
        <v>37</v>
      </c>
      <c r="H1" s="13"/>
      <c r="I1" s="13"/>
    </row>
    <row r="2" spans="2:12">
      <c r="B2" s="14" t="s">
        <v>38</v>
      </c>
      <c r="C2" s="14"/>
      <c r="D2" s="14"/>
      <c r="E2" s="14"/>
      <c r="F2" s="14"/>
      <c r="G2" s="14"/>
      <c r="H2" s="14"/>
      <c r="I2" s="14"/>
      <c r="J2" s="14"/>
    </row>
    <row r="3" spans="2:12">
      <c r="B3" s="14" t="s">
        <v>39</v>
      </c>
      <c r="C3" s="14">
        <v>2018</v>
      </c>
      <c r="D3" s="14"/>
      <c r="E3" s="14"/>
      <c r="F3" s="14"/>
      <c r="G3" s="14"/>
      <c r="H3" s="14"/>
      <c r="I3" s="14"/>
      <c r="J3" s="14"/>
    </row>
    <row r="4" spans="2:12">
      <c r="B4" s="14"/>
      <c r="C4" s="14"/>
      <c r="D4" s="14"/>
      <c r="E4" s="14"/>
      <c r="F4" s="14"/>
      <c r="G4" s="14"/>
      <c r="H4" s="14"/>
      <c r="I4" s="14"/>
      <c r="J4" s="14"/>
    </row>
    <row r="5" spans="2:12">
      <c r="B5" s="15"/>
      <c r="F5" s="16" t="s">
        <v>19</v>
      </c>
      <c r="G5" s="17"/>
      <c r="H5" s="18"/>
      <c r="J5" s="15"/>
      <c r="L5" s="19"/>
    </row>
    <row r="6" spans="2:12">
      <c r="B6" s="13" t="s">
        <v>35</v>
      </c>
      <c r="C6" s="20">
        <v>7.9500000000000001E-2</v>
      </c>
      <c r="F6" s="38" t="s">
        <v>41</v>
      </c>
      <c r="G6" s="39" t="s">
        <v>42</v>
      </c>
      <c r="H6" s="39" t="s">
        <v>40</v>
      </c>
      <c r="I6" s="47" t="s">
        <v>44</v>
      </c>
      <c r="J6" s="47" t="s">
        <v>43</v>
      </c>
      <c r="K6" s="21"/>
      <c r="L6" s="22"/>
    </row>
    <row r="7" spans="2:12">
      <c r="B7" s="13" t="s">
        <v>36</v>
      </c>
      <c r="C7" s="23">
        <v>13700</v>
      </c>
      <c r="D7" s="20"/>
      <c r="F7" s="24" t="s">
        <v>198</v>
      </c>
      <c r="G7" s="25">
        <f>FB_CinCoff!C106</f>
        <v>71218315.437095463</v>
      </c>
      <c r="H7" s="26">
        <f>G7/nilai_tukar</f>
        <v>5198.4171851894498</v>
      </c>
      <c r="I7" s="27">
        <v>236420.75433515006</v>
      </c>
      <c r="J7" s="25">
        <f t="shared" ref="J7" si="0">I7/nilai_tukar</f>
        <v>17.256989367529201</v>
      </c>
      <c r="K7" s="21"/>
      <c r="L7" s="22"/>
    </row>
    <row r="8" spans="2:12">
      <c r="B8" s="15" t="s">
        <v>30</v>
      </c>
      <c r="C8" s="27"/>
      <c r="I8" s="13"/>
      <c r="J8" s="15"/>
    </row>
    <row r="9" spans="2:12">
      <c r="B9" s="28" t="s">
        <v>31</v>
      </c>
      <c r="C9" s="27">
        <v>70000</v>
      </c>
      <c r="F9" s="28"/>
      <c r="G9" s="34"/>
      <c r="H9" s="35"/>
      <c r="I9" s="13"/>
      <c r="J9" s="36"/>
      <c r="K9" s="29"/>
      <c r="L9" s="30"/>
    </row>
    <row r="10" spans="2:12">
      <c r="B10" s="28" t="s">
        <v>32</v>
      </c>
      <c r="C10" s="27">
        <v>20000</v>
      </c>
      <c r="F10" s="28"/>
      <c r="G10" s="37"/>
      <c r="H10" s="35"/>
      <c r="I10" s="13"/>
      <c r="J10" s="36"/>
    </row>
    <row r="11" spans="2:12">
      <c r="B11" s="28" t="s">
        <v>33</v>
      </c>
      <c r="C11" s="27">
        <v>12000</v>
      </c>
      <c r="D11" s="31"/>
      <c r="F11" s="28"/>
      <c r="G11" s="37"/>
      <c r="H11" s="35"/>
      <c r="I11" s="13"/>
      <c r="J11" s="36"/>
      <c r="L11" s="32"/>
    </row>
    <row r="12" spans="2:12">
      <c r="B12" s="28" t="s">
        <v>34</v>
      </c>
      <c r="C12" s="27">
        <v>22000</v>
      </c>
      <c r="D12" s="33"/>
      <c r="F12" s="28"/>
      <c r="G12" s="37"/>
      <c r="H12" s="35"/>
      <c r="I12" s="13"/>
      <c r="J12" s="36"/>
    </row>
    <row r="13" spans="2:12">
      <c r="D13" s="33"/>
    </row>
    <row r="14" spans="2:12">
      <c r="D14" s="33"/>
    </row>
    <row r="15" spans="2:12">
      <c r="D15" s="33"/>
    </row>
    <row r="16" spans="2:12">
      <c r="D16" s="33"/>
    </row>
    <row r="17" spans="2:4">
      <c r="B17" s="28"/>
      <c r="C17" s="27"/>
      <c r="D17" s="33"/>
    </row>
    <row r="19" spans="2:4">
      <c r="B19" s="104" t="s">
        <v>87</v>
      </c>
    </row>
    <row r="20" spans="2:4">
      <c r="B20" s="13" t="s">
        <v>88</v>
      </c>
    </row>
    <row r="21" spans="2:4">
      <c r="B21" s="13" t="s">
        <v>89</v>
      </c>
    </row>
    <row r="22" spans="2:4">
      <c r="B22" s="13" t="s">
        <v>90</v>
      </c>
    </row>
    <row r="24" spans="2:4">
      <c r="B24" s="13" t="s">
        <v>94</v>
      </c>
    </row>
    <row r="26" spans="2:4">
      <c r="B26" s="104" t="s">
        <v>210</v>
      </c>
    </row>
    <row r="27" spans="2:4">
      <c r="B27" s="13" t="s">
        <v>211</v>
      </c>
    </row>
    <row r="29" spans="2:4">
      <c r="B29" s="104"/>
    </row>
  </sheetData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odule1.RTL">
                <anchor moveWithCells="1" sizeWithCells="1">
                  <from>
                    <xdr:col>1</xdr:col>
                    <xdr:colOff>91440</xdr:colOff>
                    <xdr:row>15</xdr:row>
                    <xdr:rowOff>0</xdr:rowOff>
                  </from>
                  <to>
                    <xdr:col>1</xdr:col>
                    <xdr:colOff>777240</xdr:colOff>
                    <xdr:row>16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1:P45"/>
  <sheetViews>
    <sheetView zoomScale="85" zoomScaleNormal="85" workbookViewId="0">
      <selection activeCell="L9" sqref="L9"/>
    </sheetView>
  </sheetViews>
  <sheetFormatPr defaultColWidth="9.109375" defaultRowHeight="14.4"/>
  <cols>
    <col min="1" max="1" width="4.109375" style="6" customWidth="1"/>
    <col min="2" max="2" width="26" style="6" bestFit="1" customWidth="1"/>
    <col min="3" max="3" width="14.5546875" style="7" customWidth="1"/>
    <col min="4" max="4" width="11.6640625" style="7" bestFit="1" customWidth="1"/>
    <col min="5" max="5" width="2" style="6" customWidth="1"/>
    <col min="6" max="6" width="33.44140625" style="6" bestFit="1" customWidth="1"/>
    <col min="7" max="8" width="9.109375" style="6"/>
    <col min="9" max="9" width="3.109375" style="6" customWidth="1"/>
    <col min="10" max="10" width="14.6640625" style="6" bestFit="1" customWidth="1"/>
    <col min="11" max="11" width="9.109375" style="6"/>
    <col min="12" max="12" width="11.33203125" style="6" customWidth="1"/>
    <col min="13" max="13" width="4.88671875" style="6" customWidth="1"/>
    <col min="14" max="14" width="35.88671875" style="6" customWidth="1"/>
    <col min="15" max="15" width="14.6640625" style="6" customWidth="1"/>
    <col min="16" max="16384" width="9.109375" style="6"/>
  </cols>
  <sheetData>
    <row r="1" spans="2:16" ht="18">
      <c r="B1" s="3" t="s">
        <v>115</v>
      </c>
      <c r="C1" s="4"/>
    </row>
    <row r="2" spans="2:16" ht="13.5" customHeight="1"/>
    <row r="3" spans="2:16" ht="22.5" customHeight="1">
      <c r="B3" s="48" t="s">
        <v>155</v>
      </c>
      <c r="C3" s="51" t="s">
        <v>0</v>
      </c>
      <c r="D3" s="52" t="s">
        <v>11</v>
      </c>
      <c r="E3" s="7"/>
      <c r="F3" s="48" t="s">
        <v>12</v>
      </c>
      <c r="G3" s="49"/>
      <c r="H3" s="50"/>
      <c r="I3" s="7"/>
      <c r="J3" s="48" t="s">
        <v>91</v>
      </c>
      <c r="K3" s="1"/>
      <c r="L3" s="2"/>
      <c r="N3" s="48" t="s">
        <v>157</v>
      </c>
      <c r="O3" s="1"/>
      <c r="P3" s="2"/>
    </row>
    <row r="4" spans="2:16">
      <c r="B4" s="42" t="s">
        <v>9</v>
      </c>
      <c r="C4" s="10"/>
      <c r="D4" s="11"/>
      <c r="F4" s="43" t="s">
        <v>13</v>
      </c>
      <c r="G4" s="10" t="s">
        <v>5</v>
      </c>
      <c r="H4" s="11">
        <v>20000</v>
      </c>
      <c r="J4" s="45" t="s">
        <v>24</v>
      </c>
      <c r="K4" s="10" t="s">
        <v>4</v>
      </c>
      <c r="L4" s="11">
        <v>8000</v>
      </c>
      <c r="N4" s="78"/>
      <c r="O4" s="78"/>
      <c r="P4" s="78"/>
    </row>
    <row r="5" spans="2:16">
      <c r="B5" s="43" t="s">
        <v>214</v>
      </c>
      <c r="C5" s="10" t="s">
        <v>4</v>
      </c>
      <c r="D5" s="11">
        <v>2300</v>
      </c>
      <c r="F5" s="43" t="s">
        <v>18</v>
      </c>
      <c r="G5" s="10" t="s">
        <v>5</v>
      </c>
      <c r="H5" s="11">
        <v>200</v>
      </c>
      <c r="J5" s="45"/>
      <c r="K5" s="10"/>
      <c r="L5" s="11"/>
      <c r="N5" s="78" t="s">
        <v>158</v>
      </c>
      <c r="O5" s="80" t="s">
        <v>4</v>
      </c>
      <c r="P5" s="11">
        <v>1000</v>
      </c>
    </row>
    <row r="6" spans="2:16" s="44" customFormat="1">
      <c r="B6" s="43" t="s">
        <v>216</v>
      </c>
      <c r="C6" s="10" t="s">
        <v>4</v>
      </c>
      <c r="D6" s="11">
        <v>2300</v>
      </c>
      <c r="F6" s="43" t="s">
        <v>14</v>
      </c>
      <c r="G6" s="10" t="s">
        <v>5</v>
      </c>
      <c r="H6" s="11">
        <v>10000</v>
      </c>
      <c r="J6" s="45"/>
      <c r="K6" s="10"/>
      <c r="L6" s="11"/>
      <c r="N6" s="79" t="s">
        <v>160</v>
      </c>
      <c r="O6" s="80" t="s">
        <v>4</v>
      </c>
      <c r="P6" s="11">
        <v>2000</v>
      </c>
    </row>
    <row r="7" spans="2:16" s="44" customFormat="1">
      <c r="B7" s="97" t="s">
        <v>83</v>
      </c>
      <c r="C7" s="10" t="s">
        <v>4</v>
      </c>
      <c r="D7" s="11">
        <f>250000/50</f>
        <v>5000</v>
      </c>
      <c r="F7" s="43" t="s">
        <v>127</v>
      </c>
      <c r="G7" s="10" t="s">
        <v>5</v>
      </c>
      <c r="H7" s="11">
        <v>25000</v>
      </c>
      <c r="J7" s="45"/>
      <c r="K7" s="10"/>
      <c r="L7" s="11"/>
      <c r="N7" s="79" t="s">
        <v>159</v>
      </c>
      <c r="O7" s="80" t="s">
        <v>4</v>
      </c>
      <c r="P7" s="11">
        <v>1000</v>
      </c>
    </row>
    <row r="8" spans="2:16" s="44" customFormat="1">
      <c r="B8" s="43" t="s">
        <v>84</v>
      </c>
      <c r="C8" s="10" t="s">
        <v>4</v>
      </c>
      <c r="D8" s="11">
        <v>1000</v>
      </c>
      <c r="F8" s="43" t="s">
        <v>147</v>
      </c>
      <c r="G8" s="10" t="s">
        <v>5</v>
      </c>
      <c r="H8" s="11">
        <v>50000</v>
      </c>
      <c r="J8" s="45" t="s">
        <v>75</v>
      </c>
      <c r="K8" s="10" t="s">
        <v>4</v>
      </c>
      <c r="L8" s="11">
        <f>Summary!C10</f>
        <v>20000</v>
      </c>
      <c r="N8" s="79" t="s">
        <v>207</v>
      </c>
      <c r="O8" s="80" t="s">
        <v>4</v>
      </c>
      <c r="P8" s="11"/>
    </row>
    <row r="9" spans="2:16">
      <c r="B9" s="43" t="s">
        <v>116</v>
      </c>
      <c r="C9" s="10" t="s">
        <v>4</v>
      </c>
      <c r="D9" s="11">
        <v>2500</v>
      </c>
      <c r="F9" s="43" t="s">
        <v>22</v>
      </c>
      <c r="G9" s="10" t="s">
        <v>5</v>
      </c>
      <c r="H9" s="11">
        <v>50000</v>
      </c>
      <c r="J9" s="45" t="s">
        <v>149</v>
      </c>
      <c r="K9" s="10" t="s">
        <v>4</v>
      </c>
      <c r="L9" s="11">
        <v>45000</v>
      </c>
      <c r="N9" s="79" t="s">
        <v>208</v>
      </c>
      <c r="O9" s="80" t="s">
        <v>213</v>
      </c>
      <c r="P9" s="11">
        <f>(5000+25000)/2</f>
        <v>15000</v>
      </c>
    </row>
    <row r="10" spans="2:16">
      <c r="B10" s="43" t="s">
        <v>117</v>
      </c>
      <c r="C10" s="10" t="s">
        <v>4</v>
      </c>
      <c r="D10" s="11">
        <v>2800</v>
      </c>
      <c r="F10" s="43" t="s">
        <v>92</v>
      </c>
      <c r="G10" s="10" t="s">
        <v>5</v>
      </c>
      <c r="H10" s="11">
        <v>300000</v>
      </c>
      <c r="J10" s="45" t="s">
        <v>150</v>
      </c>
      <c r="K10" s="10" t="s">
        <v>4</v>
      </c>
      <c r="L10" s="11">
        <v>25000</v>
      </c>
      <c r="N10" s="79" t="s">
        <v>209</v>
      </c>
      <c r="O10" s="80" t="s">
        <v>4</v>
      </c>
      <c r="P10" s="11">
        <v>200</v>
      </c>
    </row>
    <row r="11" spans="2:16">
      <c r="B11" s="43" t="s">
        <v>215</v>
      </c>
      <c r="C11" s="10" t="s">
        <v>4</v>
      </c>
      <c r="D11" s="11">
        <f>145000/50</f>
        <v>2900</v>
      </c>
      <c r="F11" s="43" t="s">
        <v>202</v>
      </c>
      <c r="G11" s="10" t="s">
        <v>5</v>
      </c>
      <c r="H11" s="11">
        <v>20000</v>
      </c>
      <c r="J11" s="45" t="s">
        <v>151</v>
      </c>
      <c r="K11" s="10" t="s">
        <v>4</v>
      </c>
      <c r="L11" s="11">
        <v>15000</v>
      </c>
    </row>
    <row r="12" spans="2:16">
      <c r="B12" s="43" t="s">
        <v>217</v>
      </c>
      <c r="C12" s="80" t="s">
        <v>212</v>
      </c>
      <c r="D12" s="80">
        <v>11000</v>
      </c>
      <c r="F12" s="43" t="s">
        <v>97</v>
      </c>
      <c r="G12" s="10" t="s">
        <v>120</v>
      </c>
      <c r="H12" s="11">
        <v>50000</v>
      </c>
      <c r="J12" s="45" t="s">
        <v>76</v>
      </c>
      <c r="K12" s="10" t="s">
        <v>4</v>
      </c>
      <c r="L12" s="11">
        <f>Summary!C12</f>
        <v>22000</v>
      </c>
    </row>
    <row r="13" spans="2:16">
      <c r="B13" s="78"/>
      <c r="C13" s="80"/>
      <c r="D13" s="80"/>
      <c r="F13" s="43" t="s">
        <v>98</v>
      </c>
      <c r="G13" s="10" t="s">
        <v>5</v>
      </c>
      <c r="H13" s="11">
        <v>5000</v>
      </c>
      <c r="J13" s="45"/>
      <c r="K13" s="10"/>
      <c r="L13" s="11"/>
    </row>
    <row r="14" spans="2:16">
      <c r="B14" s="78" t="s">
        <v>223</v>
      </c>
      <c r="C14" s="80"/>
      <c r="D14" s="80"/>
      <c r="F14" s="43" t="s">
        <v>99</v>
      </c>
      <c r="G14" s="10" t="s">
        <v>121</v>
      </c>
      <c r="H14" s="11">
        <v>75000</v>
      </c>
      <c r="J14" s="45" t="s">
        <v>25</v>
      </c>
      <c r="K14" s="10" t="s">
        <v>27</v>
      </c>
      <c r="L14" s="11">
        <v>3500</v>
      </c>
    </row>
    <row r="15" spans="2:16">
      <c r="B15" s="43" t="s">
        <v>226</v>
      </c>
      <c r="C15" s="80" t="s">
        <v>224</v>
      </c>
      <c r="D15" s="11">
        <v>20000</v>
      </c>
      <c r="F15" s="43" t="s">
        <v>100</v>
      </c>
      <c r="G15" s="10" t="s">
        <v>5</v>
      </c>
      <c r="H15" s="11">
        <v>2000</v>
      </c>
      <c r="J15" s="45" t="s">
        <v>28</v>
      </c>
      <c r="K15" s="10" t="s">
        <v>4</v>
      </c>
      <c r="L15" s="11">
        <v>5000</v>
      </c>
    </row>
    <row r="16" spans="2:16">
      <c r="B16" s="43" t="s">
        <v>225</v>
      </c>
      <c r="C16" s="80" t="s">
        <v>224</v>
      </c>
      <c r="D16" s="11">
        <v>18000</v>
      </c>
      <c r="F16" s="43" t="s">
        <v>222</v>
      </c>
      <c r="G16" s="10" t="s">
        <v>4</v>
      </c>
      <c r="H16" s="11">
        <v>45000</v>
      </c>
      <c r="J16" s="45" t="s">
        <v>26</v>
      </c>
      <c r="K16" s="10" t="s">
        <v>4</v>
      </c>
      <c r="L16" s="11">
        <v>6000</v>
      </c>
    </row>
    <row r="17" spans="2:12">
      <c r="B17" s="43" t="s">
        <v>227</v>
      </c>
      <c r="C17" s="80" t="s">
        <v>229</v>
      </c>
      <c r="D17" s="11">
        <v>35000</v>
      </c>
      <c r="F17" s="43" t="s">
        <v>101</v>
      </c>
      <c r="G17" s="10" t="s">
        <v>5</v>
      </c>
      <c r="H17" s="11">
        <v>5000</v>
      </c>
      <c r="J17" s="43"/>
      <c r="K17" s="10"/>
      <c r="L17" s="11"/>
    </row>
    <row r="18" spans="2:12">
      <c r="B18" s="43" t="s">
        <v>228</v>
      </c>
      <c r="C18" s="80" t="s">
        <v>224</v>
      </c>
      <c r="D18" s="80">
        <v>15000</v>
      </c>
      <c r="F18" s="43" t="s">
        <v>102</v>
      </c>
      <c r="G18" s="10" t="s">
        <v>122</v>
      </c>
      <c r="H18" s="11">
        <v>40000</v>
      </c>
      <c r="J18" s="45" t="s">
        <v>15</v>
      </c>
      <c r="K18" s="10" t="s">
        <v>16</v>
      </c>
      <c r="L18" s="11">
        <v>300000</v>
      </c>
    </row>
    <row r="19" spans="2:12">
      <c r="B19" s="43" t="s">
        <v>230</v>
      </c>
      <c r="C19" s="80" t="s">
        <v>4</v>
      </c>
      <c r="D19" s="11">
        <v>115000</v>
      </c>
      <c r="F19" s="43" t="s">
        <v>220</v>
      </c>
      <c r="G19" s="10" t="s">
        <v>5</v>
      </c>
      <c r="H19" s="11">
        <v>20000</v>
      </c>
      <c r="J19" s="45" t="s">
        <v>123</v>
      </c>
      <c r="K19" s="10" t="s">
        <v>124</v>
      </c>
      <c r="L19" s="11">
        <v>800000</v>
      </c>
    </row>
    <row r="20" spans="2:12">
      <c r="B20" s="43" t="s">
        <v>231</v>
      </c>
      <c r="C20" s="80" t="s">
        <v>224</v>
      </c>
      <c r="D20" s="11">
        <v>43500</v>
      </c>
      <c r="F20" s="43" t="s">
        <v>103</v>
      </c>
      <c r="G20" s="10" t="s">
        <v>5</v>
      </c>
      <c r="H20" s="11">
        <v>2000</v>
      </c>
    </row>
    <row r="21" spans="2:12">
      <c r="B21" s="43" t="s">
        <v>232</v>
      </c>
      <c r="C21" s="80" t="s">
        <v>224</v>
      </c>
      <c r="D21" s="11">
        <v>49250</v>
      </c>
      <c r="F21" s="43" t="s">
        <v>104</v>
      </c>
      <c r="G21" s="10" t="s">
        <v>5</v>
      </c>
      <c r="H21" s="11">
        <v>7000</v>
      </c>
    </row>
    <row r="22" spans="2:12">
      <c r="B22" s="43" t="s">
        <v>233</v>
      </c>
      <c r="C22" s="80" t="s">
        <v>224</v>
      </c>
      <c r="D22" s="11">
        <v>45000</v>
      </c>
      <c r="F22" s="43" t="s">
        <v>218</v>
      </c>
      <c r="G22" s="10" t="s">
        <v>5</v>
      </c>
      <c r="H22" s="11">
        <v>400000</v>
      </c>
    </row>
    <row r="23" spans="2:12">
      <c r="B23" s="43"/>
      <c r="C23" s="80"/>
      <c r="D23" s="11"/>
      <c r="F23" s="43" t="s">
        <v>221</v>
      </c>
      <c r="G23" s="10" t="s">
        <v>4</v>
      </c>
      <c r="H23" s="11">
        <v>40000</v>
      </c>
    </row>
    <row r="24" spans="2:12">
      <c r="B24" s="43" t="s">
        <v>10</v>
      </c>
      <c r="C24" s="10" t="s">
        <v>8</v>
      </c>
      <c r="D24" s="11">
        <v>80000</v>
      </c>
      <c r="F24" s="43" t="s">
        <v>105</v>
      </c>
      <c r="G24" s="10" t="s">
        <v>5</v>
      </c>
      <c r="H24" s="11">
        <v>30000</v>
      </c>
    </row>
    <row r="25" spans="2:12">
      <c r="B25" s="43" t="s">
        <v>1</v>
      </c>
      <c r="C25" s="10" t="s">
        <v>17</v>
      </c>
      <c r="D25" s="11">
        <v>6000</v>
      </c>
      <c r="F25" s="43" t="s">
        <v>106</v>
      </c>
      <c r="G25" s="10" t="s">
        <v>4</v>
      </c>
      <c r="H25" s="11">
        <v>8000</v>
      </c>
    </row>
    <row r="26" spans="2:12">
      <c r="B26" s="43" t="s">
        <v>118</v>
      </c>
      <c r="C26" s="10" t="s">
        <v>4</v>
      </c>
      <c r="D26" s="11">
        <v>12000</v>
      </c>
      <c r="F26" s="43" t="s">
        <v>107</v>
      </c>
      <c r="G26" s="10" t="s">
        <v>5</v>
      </c>
      <c r="H26" s="11">
        <v>1000</v>
      </c>
    </row>
    <row r="27" spans="2:12">
      <c r="B27" s="43"/>
      <c r="C27" s="10"/>
      <c r="D27" s="11"/>
      <c r="F27" s="43" t="s">
        <v>108</v>
      </c>
      <c r="G27" s="10" t="s">
        <v>5</v>
      </c>
      <c r="H27" s="11">
        <v>1000</v>
      </c>
    </row>
    <row r="28" spans="2:12">
      <c r="B28" s="42" t="s">
        <v>95</v>
      </c>
      <c r="C28" s="10"/>
      <c r="D28" s="11"/>
      <c r="F28" s="43" t="s">
        <v>109</v>
      </c>
      <c r="G28" s="10" t="s">
        <v>5</v>
      </c>
      <c r="H28" s="11">
        <v>9000</v>
      </c>
    </row>
    <row r="29" spans="2:12">
      <c r="B29" s="43" t="s">
        <v>23</v>
      </c>
      <c r="C29" s="10" t="s">
        <v>4</v>
      </c>
      <c r="D29" s="11">
        <f>10000/2.5</f>
        <v>4000</v>
      </c>
      <c r="F29" s="43" t="s">
        <v>203</v>
      </c>
      <c r="G29" s="78" t="s">
        <v>204</v>
      </c>
      <c r="H29" s="11">
        <v>2000</v>
      </c>
    </row>
    <row r="30" spans="2:12">
      <c r="B30" s="43" t="s">
        <v>21</v>
      </c>
      <c r="C30" s="10" t="s">
        <v>20</v>
      </c>
      <c r="D30" s="11">
        <v>2000</v>
      </c>
    </row>
    <row r="31" spans="2:12">
      <c r="B31" s="43" t="s">
        <v>85</v>
      </c>
      <c r="C31" s="10" t="s">
        <v>4</v>
      </c>
      <c r="D31" s="11">
        <v>5000</v>
      </c>
    </row>
    <row r="32" spans="2:12">
      <c r="B32" s="43" t="s">
        <v>156</v>
      </c>
      <c r="C32" s="10" t="s">
        <v>119</v>
      </c>
      <c r="D32" s="11">
        <v>2500</v>
      </c>
    </row>
    <row r="33" spans="2:4">
      <c r="B33" s="43" t="s">
        <v>96</v>
      </c>
      <c r="C33" s="10" t="s">
        <v>4</v>
      </c>
      <c r="D33" s="11">
        <v>7000</v>
      </c>
    </row>
    <row r="34" spans="2:4">
      <c r="B34" s="43" t="s">
        <v>125</v>
      </c>
      <c r="C34" s="43" t="s">
        <v>148</v>
      </c>
      <c r="D34" s="11">
        <v>2500</v>
      </c>
    </row>
    <row r="35" spans="2:4">
      <c r="B35" s="43" t="s">
        <v>183</v>
      </c>
      <c r="C35" s="43" t="s">
        <v>219</v>
      </c>
      <c r="D35" s="11">
        <v>120000</v>
      </c>
    </row>
    <row r="36" spans="2:4">
      <c r="B36" s="43" t="s">
        <v>201</v>
      </c>
      <c r="C36" s="43" t="s">
        <v>148</v>
      </c>
      <c r="D36" s="11">
        <v>3500</v>
      </c>
    </row>
    <row r="45" spans="2:4">
      <c r="D45" s="9"/>
    </row>
  </sheetData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00B050"/>
  </sheetPr>
  <dimension ref="B1:BF109"/>
  <sheetViews>
    <sheetView topLeftCell="L76" zoomScale="90" zoomScaleNormal="90" workbookViewId="0">
      <selection activeCell="AI91" sqref="AH91:AI91"/>
    </sheetView>
  </sheetViews>
  <sheetFormatPr defaultColWidth="9.109375" defaultRowHeight="13.8"/>
  <cols>
    <col min="1" max="1" width="2.5546875" style="108" customWidth="1"/>
    <col min="2" max="2" width="33.6640625" style="108" customWidth="1"/>
    <col min="3" max="3" width="9.6640625" style="108" customWidth="1"/>
    <col min="4" max="4" width="7.33203125" style="108" customWidth="1"/>
    <col min="5" max="5" width="6.109375" style="108" customWidth="1"/>
    <col min="6" max="8" width="5.44140625" style="108" customWidth="1"/>
    <col min="9" max="10" width="6.33203125" style="108" customWidth="1"/>
    <col min="11" max="17" width="7.109375" style="108" customWidth="1"/>
    <col min="18" max="25" width="6.33203125" style="108" customWidth="1"/>
    <col min="26" max="26" width="7.109375" style="108" bestFit="1" customWidth="1"/>
    <col min="27" max="27" width="6.33203125" style="108" customWidth="1"/>
    <col min="28" max="31" width="7.109375" style="108" bestFit="1" customWidth="1"/>
    <col min="32" max="33" width="6.33203125" style="108" customWidth="1"/>
    <col min="34" max="16384" width="9.109375" style="108"/>
  </cols>
  <sheetData>
    <row r="1" spans="2:58" s="6" customFormat="1" ht="18">
      <c r="B1" s="3" t="s">
        <v>113</v>
      </c>
      <c r="C1" s="4"/>
      <c r="D1" s="5"/>
      <c r="E1" s="5"/>
    </row>
    <row r="2" spans="2:58" s="6" customFormat="1" ht="14.4">
      <c r="B2" s="6" t="s">
        <v>197</v>
      </c>
      <c r="C2" s="7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</row>
    <row r="3" spans="2:58" ht="18">
      <c r="B3" s="105" t="s">
        <v>126</v>
      </c>
      <c r="C3" s="106" t="s">
        <v>2</v>
      </c>
      <c r="D3" s="107" t="s">
        <v>45</v>
      </c>
      <c r="E3" s="107" t="s">
        <v>46</v>
      </c>
      <c r="F3" s="107" t="s">
        <v>47</v>
      </c>
      <c r="G3" s="107" t="s">
        <v>48</v>
      </c>
      <c r="H3" s="107" t="s">
        <v>49</v>
      </c>
      <c r="I3" s="107" t="s">
        <v>50</v>
      </c>
      <c r="J3" s="107" t="s">
        <v>51</v>
      </c>
      <c r="K3" s="107" t="s">
        <v>52</v>
      </c>
      <c r="L3" s="107" t="s">
        <v>53</v>
      </c>
      <c r="M3" s="107" t="s">
        <v>54</v>
      </c>
      <c r="N3" s="107" t="s">
        <v>55</v>
      </c>
      <c r="O3" s="107" t="s">
        <v>56</v>
      </c>
      <c r="P3" s="107" t="s">
        <v>57</v>
      </c>
      <c r="Q3" s="107" t="s">
        <v>58</v>
      </c>
      <c r="R3" s="107" t="s">
        <v>59</v>
      </c>
      <c r="S3" s="107" t="s">
        <v>60</v>
      </c>
      <c r="T3" s="107" t="s">
        <v>61</v>
      </c>
      <c r="U3" s="107" t="s">
        <v>62</v>
      </c>
      <c r="V3" s="107" t="s">
        <v>63</v>
      </c>
      <c r="W3" s="107" t="s">
        <v>64</v>
      </c>
      <c r="X3" s="107" t="s">
        <v>65</v>
      </c>
      <c r="Y3" s="107" t="s">
        <v>66</v>
      </c>
      <c r="Z3" s="107" t="s">
        <v>67</v>
      </c>
      <c r="AA3" s="107" t="s">
        <v>68</v>
      </c>
      <c r="AB3" s="107" t="s">
        <v>69</v>
      </c>
      <c r="AC3" s="107" t="s">
        <v>70</v>
      </c>
      <c r="AD3" s="107" t="s">
        <v>71</v>
      </c>
      <c r="AE3" s="107" t="s">
        <v>72</v>
      </c>
      <c r="AF3" s="107" t="s">
        <v>73</v>
      </c>
      <c r="AG3" s="107" t="s">
        <v>74</v>
      </c>
    </row>
    <row r="4" spans="2:58" ht="15.6">
      <c r="B4" s="109" t="s">
        <v>77</v>
      </c>
      <c r="C4" s="110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11"/>
      <c r="AD4" s="111"/>
      <c r="AE4" s="111"/>
      <c r="AF4" s="111"/>
      <c r="AG4" s="111"/>
    </row>
    <row r="5" spans="2:58">
      <c r="B5" s="112" t="s">
        <v>196</v>
      </c>
      <c r="C5" s="110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1"/>
      <c r="R5" s="111"/>
      <c r="S5" s="111"/>
      <c r="T5" s="111"/>
      <c r="U5" s="111"/>
      <c r="V5" s="111"/>
      <c r="W5" s="111"/>
      <c r="X5" s="111"/>
      <c r="Y5" s="111"/>
      <c r="Z5" s="111"/>
      <c r="AA5" s="111"/>
      <c r="AB5" s="111"/>
      <c r="AC5" s="111"/>
      <c r="AD5" s="111"/>
      <c r="AE5" s="111"/>
      <c r="AF5" s="111"/>
      <c r="AG5" s="111"/>
    </row>
    <row r="6" spans="2:58">
      <c r="B6" s="113"/>
      <c r="C6" s="110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114"/>
      <c r="AG6" s="114"/>
      <c r="AH6" s="115"/>
      <c r="AI6" s="115"/>
      <c r="AJ6" s="115"/>
      <c r="AK6" s="115"/>
      <c r="AL6" s="115"/>
      <c r="AM6" s="115"/>
      <c r="AN6" s="115"/>
      <c r="AO6" s="115"/>
      <c r="AP6" s="115"/>
      <c r="AQ6" s="115"/>
      <c r="AR6" s="115"/>
      <c r="AS6" s="115"/>
      <c r="AT6" s="115"/>
      <c r="AU6" s="115"/>
      <c r="AV6" s="115"/>
      <c r="AW6" s="115"/>
      <c r="AX6" s="115"/>
      <c r="AY6" s="115"/>
      <c r="AZ6" s="115"/>
      <c r="BA6" s="115"/>
      <c r="BB6" s="115"/>
      <c r="BC6" s="115"/>
      <c r="BD6" s="115"/>
      <c r="BE6" s="115"/>
      <c r="BF6" s="115"/>
    </row>
    <row r="7" spans="2:58">
      <c r="B7" s="112" t="s">
        <v>93</v>
      </c>
      <c r="C7" s="110"/>
      <c r="D7" s="114"/>
      <c r="E7" s="114"/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</row>
    <row r="8" spans="2:58">
      <c r="B8" s="116" t="s">
        <v>127</v>
      </c>
      <c r="C8" s="110" t="s">
        <v>2</v>
      </c>
      <c r="D8" s="114">
        <v>1</v>
      </c>
      <c r="E8" s="114">
        <v>0</v>
      </c>
      <c r="F8" s="114">
        <v>0</v>
      </c>
      <c r="G8" s="114">
        <v>0</v>
      </c>
      <c r="H8" s="114">
        <v>0</v>
      </c>
      <c r="I8" s="114">
        <v>0</v>
      </c>
      <c r="J8" s="114">
        <v>0</v>
      </c>
      <c r="K8" s="114">
        <v>0</v>
      </c>
      <c r="L8" s="114">
        <v>0</v>
      </c>
      <c r="M8" s="114">
        <v>0</v>
      </c>
      <c r="N8" s="114">
        <v>0</v>
      </c>
      <c r="O8" s="114">
        <v>0</v>
      </c>
      <c r="P8" s="114">
        <v>0</v>
      </c>
      <c r="Q8" s="114">
        <v>0</v>
      </c>
      <c r="R8" s="114">
        <v>1</v>
      </c>
      <c r="S8" s="114">
        <v>0</v>
      </c>
      <c r="T8" s="114">
        <v>0</v>
      </c>
      <c r="U8" s="114">
        <v>0</v>
      </c>
      <c r="V8" s="114">
        <v>0</v>
      </c>
      <c r="W8" s="114">
        <v>0</v>
      </c>
      <c r="X8" s="114">
        <v>0</v>
      </c>
      <c r="Y8" s="114">
        <v>0</v>
      </c>
      <c r="Z8" s="114">
        <v>0</v>
      </c>
      <c r="AA8" s="114">
        <v>0</v>
      </c>
      <c r="AB8" s="114">
        <v>0</v>
      </c>
      <c r="AC8" s="114">
        <v>0</v>
      </c>
      <c r="AD8" s="114">
        <v>0</v>
      </c>
      <c r="AE8" s="114">
        <v>0</v>
      </c>
      <c r="AF8" s="114">
        <v>0</v>
      </c>
      <c r="AG8" s="114">
        <v>0</v>
      </c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</row>
    <row r="9" spans="2:58">
      <c r="B9" s="116" t="s">
        <v>128</v>
      </c>
      <c r="C9" s="110" t="s">
        <v>2</v>
      </c>
      <c r="D9" s="114">
        <v>1</v>
      </c>
      <c r="E9" s="114">
        <v>0</v>
      </c>
      <c r="F9" s="114">
        <v>0</v>
      </c>
      <c r="G9" s="114">
        <v>0</v>
      </c>
      <c r="H9" s="114">
        <v>0</v>
      </c>
      <c r="I9" s="114">
        <v>0</v>
      </c>
      <c r="J9" s="114">
        <v>0</v>
      </c>
      <c r="K9" s="114">
        <v>0</v>
      </c>
      <c r="L9" s="114">
        <v>0</v>
      </c>
      <c r="M9" s="114">
        <v>0</v>
      </c>
      <c r="N9" s="114">
        <v>0</v>
      </c>
      <c r="O9" s="114">
        <v>0</v>
      </c>
      <c r="P9" s="114">
        <v>0</v>
      </c>
      <c r="Q9" s="114">
        <v>0</v>
      </c>
      <c r="R9" s="114">
        <v>1</v>
      </c>
      <c r="S9" s="114">
        <v>0</v>
      </c>
      <c r="T9" s="114">
        <v>0</v>
      </c>
      <c r="U9" s="114">
        <v>0</v>
      </c>
      <c r="V9" s="114">
        <v>0</v>
      </c>
      <c r="W9" s="114">
        <v>0</v>
      </c>
      <c r="X9" s="114">
        <v>0</v>
      </c>
      <c r="Y9" s="114">
        <v>0</v>
      </c>
      <c r="Z9" s="114">
        <v>0</v>
      </c>
      <c r="AA9" s="114">
        <v>0</v>
      </c>
      <c r="AB9" s="114">
        <v>0</v>
      </c>
      <c r="AC9" s="114">
        <v>0</v>
      </c>
      <c r="AD9" s="114">
        <v>0</v>
      </c>
      <c r="AE9" s="114">
        <v>0</v>
      </c>
      <c r="AF9" s="114">
        <v>0</v>
      </c>
      <c r="AG9" s="114">
        <v>0</v>
      </c>
      <c r="AH9" s="115"/>
      <c r="AI9" s="115"/>
      <c r="AJ9" s="115"/>
      <c r="AK9" s="115"/>
      <c r="AL9" s="115"/>
      <c r="AM9" s="115"/>
      <c r="AN9" s="115"/>
      <c r="AO9" s="115"/>
      <c r="AP9" s="115"/>
      <c r="AQ9" s="115"/>
      <c r="AR9" s="115"/>
      <c r="AS9" s="115"/>
      <c r="AT9" s="115"/>
      <c r="AU9" s="115"/>
      <c r="AV9" s="115"/>
      <c r="AW9" s="115"/>
      <c r="AX9" s="115"/>
      <c r="AY9" s="115"/>
      <c r="AZ9" s="115"/>
      <c r="BA9" s="115"/>
      <c r="BB9" s="115"/>
      <c r="BC9" s="115"/>
      <c r="BD9" s="115"/>
      <c r="BE9" s="115"/>
      <c r="BF9" s="115"/>
    </row>
    <row r="10" spans="2:58">
      <c r="B10" s="116" t="s">
        <v>129</v>
      </c>
      <c r="C10" s="110" t="s">
        <v>2</v>
      </c>
      <c r="D10" s="114">
        <v>1</v>
      </c>
      <c r="E10" s="114">
        <v>0</v>
      </c>
      <c r="F10" s="114">
        <v>0</v>
      </c>
      <c r="G10" s="114">
        <v>0</v>
      </c>
      <c r="H10" s="114">
        <v>0</v>
      </c>
      <c r="I10" s="114">
        <v>0</v>
      </c>
      <c r="J10" s="114">
        <v>0</v>
      </c>
      <c r="K10" s="114">
        <v>0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4">
        <v>0</v>
      </c>
      <c r="R10" s="114">
        <v>1</v>
      </c>
      <c r="S10" s="114">
        <v>0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0</v>
      </c>
      <c r="AA10" s="114">
        <v>0</v>
      </c>
      <c r="AB10" s="114">
        <v>0</v>
      </c>
      <c r="AC10" s="114">
        <v>0</v>
      </c>
      <c r="AD10" s="114">
        <v>0</v>
      </c>
      <c r="AE10" s="114">
        <v>0</v>
      </c>
      <c r="AF10" s="114">
        <v>0</v>
      </c>
      <c r="AG10" s="114">
        <v>0</v>
      </c>
      <c r="AH10" s="115"/>
      <c r="AI10" s="115"/>
      <c r="AJ10" s="115"/>
      <c r="AK10" s="115"/>
      <c r="AL10" s="115"/>
      <c r="AM10" s="115"/>
      <c r="AN10" s="115"/>
      <c r="AO10" s="115"/>
      <c r="AP10" s="115"/>
      <c r="AQ10" s="115"/>
      <c r="AR10" s="115"/>
      <c r="AS10" s="115"/>
      <c r="AT10" s="115"/>
      <c r="AU10" s="115"/>
      <c r="AV10" s="115"/>
      <c r="AW10" s="115"/>
      <c r="AX10" s="115"/>
      <c r="AY10" s="115"/>
      <c r="AZ10" s="115"/>
      <c r="BA10" s="115"/>
      <c r="BB10" s="115"/>
      <c r="BC10" s="115"/>
      <c r="BD10" s="115"/>
      <c r="BE10" s="115"/>
      <c r="BF10" s="115"/>
    </row>
    <row r="11" spans="2:58">
      <c r="B11" s="116" t="s">
        <v>195</v>
      </c>
      <c r="C11" s="110" t="s">
        <v>2</v>
      </c>
      <c r="D11" s="114">
        <v>1</v>
      </c>
      <c r="E11" s="114">
        <v>0</v>
      </c>
      <c r="F11" s="114">
        <v>0</v>
      </c>
      <c r="G11" s="114">
        <v>0</v>
      </c>
      <c r="H11" s="114">
        <v>0</v>
      </c>
      <c r="I11" s="114">
        <v>0</v>
      </c>
      <c r="J11" s="114">
        <v>0</v>
      </c>
      <c r="K11" s="114">
        <v>0</v>
      </c>
      <c r="L11" s="114">
        <v>0</v>
      </c>
      <c r="M11" s="114">
        <v>0</v>
      </c>
      <c r="N11" s="114">
        <v>0</v>
      </c>
      <c r="O11" s="114">
        <v>0</v>
      </c>
      <c r="P11" s="114">
        <v>0</v>
      </c>
      <c r="Q11" s="114">
        <v>0</v>
      </c>
      <c r="R11" s="114">
        <v>1</v>
      </c>
      <c r="S11" s="114">
        <v>0</v>
      </c>
      <c r="T11" s="114">
        <v>0</v>
      </c>
      <c r="U11" s="114">
        <v>0</v>
      </c>
      <c r="V11" s="114">
        <v>0</v>
      </c>
      <c r="W11" s="114">
        <v>0</v>
      </c>
      <c r="X11" s="114">
        <v>0</v>
      </c>
      <c r="Y11" s="114">
        <v>0</v>
      </c>
      <c r="Z11" s="114">
        <v>0</v>
      </c>
      <c r="AA11" s="114">
        <v>0</v>
      </c>
      <c r="AB11" s="114">
        <v>0</v>
      </c>
      <c r="AC11" s="114">
        <v>0</v>
      </c>
      <c r="AD11" s="114">
        <v>0</v>
      </c>
      <c r="AE11" s="114">
        <v>0</v>
      </c>
      <c r="AF11" s="114">
        <v>0</v>
      </c>
      <c r="AG11" s="114">
        <v>0</v>
      </c>
      <c r="AH11" s="115"/>
      <c r="AI11" s="115"/>
      <c r="AJ11" s="115"/>
      <c r="AK11" s="115"/>
      <c r="AL11" s="115"/>
      <c r="AM11" s="115"/>
      <c r="AN11" s="115"/>
      <c r="AO11" s="115"/>
      <c r="AP11" s="115"/>
      <c r="AQ11" s="115"/>
      <c r="AR11" s="115"/>
      <c r="AS11" s="115"/>
      <c r="AT11" s="115"/>
      <c r="AU11" s="115"/>
      <c r="AV11" s="115"/>
      <c r="AW11" s="115"/>
      <c r="AX11" s="115"/>
      <c r="AY11" s="115"/>
      <c r="AZ11" s="115"/>
      <c r="BA11" s="115"/>
      <c r="BB11" s="115"/>
      <c r="BC11" s="115"/>
      <c r="BD11" s="115"/>
      <c r="BE11" s="115"/>
      <c r="BF11" s="115"/>
    </row>
    <row r="12" spans="2:58">
      <c r="B12" s="116" t="s">
        <v>194</v>
      </c>
      <c r="C12" s="110" t="s">
        <v>2</v>
      </c>
      <c r="D12" s="114">
        <f t="shared" ref="D12:AB12" si="0">((100/23)*D96)/50</f>
        <v>0</v>
      </c>
      <c r="E12" s="114">
        <f t="shared" si="0"/>
        <v>0</v>
      </c>
      <c r="F12" s="114">
        <f t="shared" si="0"/>
        <v>0</v>
      </c>
      <c r="G12" s="114">
        <f t="shared" si="0"/>
        <v>0</v>
      </c>
      <c r="H12" s="114">
        <f t="shared" si="0"/>
        <v>0</v>
      </c>
      <c r="I12" s="114">
        <f t="shared" si="0"/>
        <v>0</v>
      </c>
      <c r="J12" s="114">
        <f t="shared" si="0"/>
        <v>0</v>
      </c>
      <c r="K12" s="114">
        <f t="shared" si="0"/>
        <v>0</v>
      </c>
      <c r="L12" s="114">
        <f t="shared" si="0"/>
        <v>0</v>
      </c>
      <c r="M12" s="114">
        <f t="shared" si="0"/>
        <v>0</v>
      </c>
      <c r="N12" s="114">
        <f t="shared" si="0"/>
        <v>0</v>
      </c>
      <c r="O12" s="114">
        <f t="shared" si="0"/>
        <v>0</v>
      </c>
      <c r="P12" s="114">
        <f t="shared" si="0"/>
        <v>0</v>
      </c>
      <c r="Q12" s="114">
        <f t="shared" si="0"/>
        <v>0</v>
      </c>
      <c r="R12" s="114">
        <f t="shared" si="0"/>
        <v>0</v>
      </c>
      <c r="S12" s="114">
        <f t="shared" si="0"/>
        <v>0</v>
      </c>
      <c r="T12" s="114">
        <f t="shared" si="0"/>
        <v>0</v>
      </c>
      <c r="U12" s="114">
        <f t="shared" si="0"/>
        <v>0</v>
      </c>
      <c r="V12" s="114">
        <f t="shared" si="0"/>
        <v>0</v>
      </c>
      <c r="W12" s="114">
        <f t="shared" si="0"/>
        <v>0</v>
      </c>
      <c r="X12" s="114">
        <f t="shared" si="0"/>
        <v>0</v>
      </c>
      <c r="Y12" s="114">
        <f t="shared" si="0"/>
        <v>0</v>
      </c>
      <c r="Z12" s="114">
        <f t="shared" si="0"/>
        <v>0</v>
      </c>
      <c r="AA12" s="114">
        <f t="shared" si="0"/>
        <v>0</v>
      </c>
      <c r="AB12" s="114">
        <f t="shared" si="0"/>
        <v>0</v>
      </c>
      <c r="AC12" s="114">
        <f t="shared" ref="AC12:AG12" si="1">((100/23)*AC96)/50</f>
        <v>0</v>
      </c>
      <c r="AD12" s="114">
        <f t="shared" si="1"/>
        <v>0</v>
      </c>
      <c r="AE12" s="114">
        <f t="shared" si="1"/>
        <v>0</v>
      </c>
      <c r="AF12" s="114">
        <f t="shared" si="1"/>
        <v>0</v>
      </c>
      <c r="AG12" s="114">
        <f t="shared" si="1"/>
        <v>0</v>
      </c>
      <c r="AH12" s="115"/>
      <c r="AI12" s="115"/>
      <c r="AJ12" s="115"/>
      <c r="AK12" s="115"/>
      <c r="AL12" s="115"/>
      <c r="AM12" s="115"/>
      <c r="AN12" s="115"/>
      <c r="AO12" s="115"/>
      <c r="AP12" s="115"/>
      <c r="AQ12" s="115"/>
      <c r="AR12" s="115"/>
      <c r="AS12" s="115"/>
      <c r="AT12" s="115"/>
      <c r="AU12" s="115"/>
      <c r="AV12" s="115"/>
      <c r="AW12" s="115"/>
      <c r="AX12" s="115"/>
      <c r="AY12" s="115"/>
      <c r="AZ12" s="115"/>
      <c r="BA12" s="115"/>
      <c r="BB12" s="115"/>
      <c r="BC12" s="115"/>
      <c r="BD12" s="115"/>
      <c r="BE12" s="115"/>
      <c r="BF12" s="115"/>
    </row>
    <row r="13" spans="2:58">
      <c r="B13" s="116" t="s">
        <v>130</v>
      </c>
      <c r="C13" s="110" t="s">
        <v>2</v>
      </c>
      <c r="D13" s="114">
        <v>0</v>
      </c>
      <c r="E13" s="114">
        <v>0</v>
      </c>
      <c r="F13" s="114">
        <v>0</v>
      </c>
      <c r="G13" s="114">
        <v>0</v>
      </c>
      <c r="H13" s="114">
        <v>0</v>
      </c>
      <c r="I13" s="114">
        <v>0</v>
      </c>
      <c r="J13" s="114">
        <v>0</v>
      </c>
      <c r="K13" s="114">
        <v>0</v>
      </c>
      <c r="L13" s="114">
        <v>0</v>
      </c>
      <c r="M13" s="114">
        <v>0</v>
      </c>
      <c r="N13" s="114">
        <v>0</v>
      </c>
      <c r="O13" s="114">
        <v>0</v>
      </c>
      <c r="P13" s="114">
        <v>0</v>
      </c>
      <c r="Q13" s="114">
        <v>0</v>
      </c>
      <c r="R13" s="114">
        <v>0</v>
      </c>
      <c r="S13" s="114">
        <v>0</v>
      </c>
      <c r="T13" s="114">
        <v>0</v>
      </c>
      <c r="U13" s="114">
        <v>0</v>
      </c>
      <c r="V13" s="114">
        <v>0</v>
      </c>
      <c r="W13" s="114">
        <v>0</v>
      </c>
      <c r="X13" s="114">
        <v>0</v>
      </c>
      <c r="Y13" s="114">
        <v>0</v>
      </c>
      <c r="Z13" s="114">
        <v>0</v>
      </c>
      <c r="AA13" s="114">
        <v>0</v>
      </c>
      <c r="AB13" s="114">
        <v>0</v>
      </c>
      <c r="AC13" s="114">
        <v>0</v>
      </c>
      <c r="AD13" s="114">
        <v>0</v>
      </c>
      <c r="AE13" s="114">
        <v>0</v>
      </c>
      <c r="AF13" s="114">
        <v>0</v>
      </c>
      <c r="AG13" s="114">
        <v>0</v>
      </c>
      <c r="AH13" s="115"/>
      <c r="AI13" s="115"/>
      <c r="AJ13" s="115"/>
      <c r="AK13" s="115"/>
      <c r="AL13" s="115"/>
      <c r="AM13" s="115"/>
      <c r="AN13" s="115"/>
      <c r="AO13" s="115"/>
      <c r="AP13" s="115"/>
      <c r="AQ13" s="115"/>
      <c r="AR13" s="115"/>
      <c r="AS13" s="115"/>
      <c r="AT13" s="115"/>
      <c r="AU13" s="115"/>
      <c r="AV13" s="115"/>
      <c r="AW13" s="115"/>
      <c r="AX13" s="115"/>
      <c r="AY13" s="115"/>
      <c r="AZ13" s="115"/>
      <c r="BA13" s="115"/>
      <c r="BB13" s="115"/>
      <c r="BC13" s="115"/>
      <c r="BD13" s="115"/>
      <c r="BE13" s="115"/>
      <c r="BF13" s="115"/>
    </row>
    <row r="14" spans="2:58">
      <c r="B14" s="113"/>
      <c r="C14" s="110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F14" s="114"/>
      <c r="AG14" s="114"/>
      <c r="AH14" s="115"/>
      <c r="AI14" s="115"/>
      <c r="AJ14" s="115"/>
      <c r="AK14" s="115"/>
      <c r="AL14" s="115"/>
      <c r="AM14" s="115"/>
      <c r="AN14" s="115"/>
      <c r="AO14" s="115"/>
      <c r="AP14" s="115"/>
      <c r="AQ14" s="115"/>
      <c r="AR14" s="115"/>
      <c r="AS14" s="115"/>
      <c r="AT14" s="115"/>
      <c r="AU14" s="115"/>
      <c r="AV14" s="115"/>
      <c r="AW14" s="115"/>
      <c r="AX14" s="115"/>
      <c r="AY14" s="115"/>
      <c r="AZ14" s="115"/>
      <c r="BA14" s="115"/>
      <c r="BB14" s="115"/>
      <c r="BC14" s="115"/>
      <c r="BD14" s="115"/>
      <c r="BE14" s="115"/>
      <c r="BF14" s="115"/>
    </row>
    <row r="15" spans="2:58">
      <c r="B15" s="112" t="s">
        <v>95</v>
      </c>
      <c r="C15" s="111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114"/>
      <c r="AA15" s="114"/>
      <c r="AB15" s="114"/>
      <c r="AC15" s="114"/>
      <c r="AD15" s="114"/>
      <c r="AE15" s="114"/>
      <c r="AF15" s="114"/>
      <c r="AG15" s="114"/>
      <c r="AH15" s="115"/>
      <c r="AI15" s="115"/>
      <c r="AJ15" s="115"/>
      <c r="AK15" s="115"/>
      <c r="AL15" s="115"/>
      <c r="AM15" s="115"/>
      <c r="AN15" s="115"/>
      <c r="AO15" s="115"/>
      <c r="AP15" s="115"/>
      <c r="AQ15" s="115"/>
      <c r="AR15" s="115"/>
      <c r="AS15" s="115"/>
      <c r="AT15" s="115"/>
      <c r="AU15" s="115"/>
      <c r="AV15" s="115"/>
      <c r="AW15" s="115"/>
      <c r="AX15" s="115"/>
      <c r="AY15" s="115"/>
      <c r="AZ15" s="115"/>
      <c r="BA15" s="115"/>
      <c r="BB15" s="115"/>
      <c r="BC15" s="115"/>
      <c r="BD15" s="115"/>
      <c r="BE15" s="115"/>
      <c r="BF15" s="115"/>
    </row>
    <row r="16" spans="2:58">
      <c r="B16" s="116" t="s">
        <v>234</v>
      </c>
      <c r="C16" s="106" t="s">
        <v>7</v>
      </c>
      <c r="D16" s="114">
        <v>0</v>
      </c>
      <c r="E16" s="114">
        <v>0</v>
      </c>
      <c r="F16" s="114">
        <v>0</v>
      </c>
      <c r="G16" s="114">
        <v>0</v>
      </c>
      <c r="H16" s="114">
        <v>0</v>
      </c>
      <c r="I16" s="114">
        <v>0</v>
      </c>
      <c r="J16" s="114">
        <v>0</v>
      </c>
      <c r="K16" s="114">
        <v>0</v>
      </c>
      <c r="L16" s="114">
        <v>0</v>
      </c>
      <c r="M16" s="114">
        <v>0</v>
      </c>
      <c r="N16" s="114">
        <v>0</v>
      </c>
      <c r="O16" s="114">
        <v>0</v>
      </c>
      <c r="P16" s="114">
        <v>0</v>
      </c>
      <c r="Q16" s="114">
        <v>0</v>
      </c>
      <c r="R16" s="114">
        <v>0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>
        <v>0</v>
      </c>
      <c r="AG16" s="114">
        <v>0</v>
      </c>
      <c r="AH16" s="115"/>
      <c r="AI16" s="115"/>
      <c r="AJ16" s="115"/>
      <c r="AK16" s="115"/>
      <c r="AL16" s="115"/>
      <c r="AM16" s="115"/>
      <c r="AN16" s="115"/>
      <c r="AO16" s="115"/>
      <c r="AP16" s="115"/>
      <c r="AQ16" s="115"/>
      <c r="AR16" s="115"/>
      <c r="AS16" s="115"/>
      <c r="AT16" s="115"/>
      <c r="AU16" s="115"/>
      <c r="AV16" s="115"/>
      <c r="AW16" s="115"/>
      <c r="AX16" s="115"/>
      <c r="AY16" s="115"/>
      <c r="AZ16" s="115"/>
      <c r="BA16" s="115"/>
      <c r="BB16" s="115"/>
      <c r="BC16" s="115"/>
      <c r="BD16" s="115"/>
      <c r="BE16" s="115"/>
      <c r="BF16" s="115"/>
    </row>
    <row r="17" spans="2:58">
      <c r="B17" s="116" t="s">
        <v>235</v>
      </c>
      <c r="C17" s="107" t="s">
        <v>132</v>
      </c>
      <c r="D17" s="114">
        <v>1667</v>
      </c>
      <c r="E17" s="114">
        <v>0</v>
      </c>
      <c r="F17" s="114"/>
      <c r="G17" s="114">
        <v>0</v>
      </c>
      <c r="H17" s="114">
        <v>0</v>
      </c>
      <c r="I17" s="114">
        <v>0</v>
      </c>
      <c r="J17" s="114">
        <v>0</v>
      </c>
      <c r="K17" s="114">
        <v>0</v>
      </c>
      <c r="L17" s="114">
        <v>0</v>
      </c>
      <c r="M17" s="114">
        <v>0</v>
      </c>
      <c r="N17" s="114">
        <v>0</v>
      </c>
      <c r="O17" s="114">
        <v>0</v>
      </c>
      <c r="P17" s="114">
        <v>0</v>
      </c>
      <c r="Q17" s="114">
        <v>0</v>
      </c>
      <c r="R17" s="114">
        <v>0</v>
      </c>
      <c r="S17" s="114">
        <v>0</v>
      </c>
      <c r="T17" s="114">
        <v>625</v>
      </c>
      <c r="U17" s="114">
        <v>0</v>
      </c>
      <c r="V17" s="114">
        <v>0</v>
      </c>
      <c r="W17" s="114">
        <v>0</v>
      </c>
      <c r="X17" s="114">
        <v>0</v>
      </c>
      <c r="Y17" s="114">
        <v>0</v>
      </c>
      <c r="Z17" s="114">
        <v>0</v>
      </c>
      <c r="AA17" s="114">
        <v>0</v>
      </c>
      <c r="AB17" s="114">
        <v>0</v>
      </c>
      <c r="AC17" s="114">
        <v>0</v>
      </c>
      <c r="AD17" s="114">
        <v>0</v>
      </c>
      <c r="AE17" s="114">
        <v>0</v>
      </c>
      <c r="AF17" s="114">
        <v>0</v>
      </c>
      <c r="AG17" s="114">
        <v>0</v>
      </c>
      <c r="AH17" s="115"/>
      <c r="AI17" s="115"/>
      <c r="AJ17" s="115"/>
      <c r="AK17" s="115"/>
      <c r="AL17" s="115"/>
      <c r="AM17" s="115"/>
      <c r="AN17" s="115"/>
      <c r="AO17" s="115"/>
      <c r="AP17" s="115"/>
      <c r="AQ17" s="115"/>
      <c r="AR17" s="115"/>
      <c r="AS17" s="115"/>
      <c r="AT17" s="115"/>
      <c r="AU17" s="115"/>
      <c r="AV17" s="115"/>
      <c r="AW17" s="115"/>
      <c r="AX17" s="115"/>
      <c r="AY17" s="115"/>
      <c r="AZ17" s="115"/>
      <c r="BA17" s="115"/>
      <c r="BB17" s="115"/>
      <c r="BC17" s="115"/>
      <c r="BD17" s="115"/>
      <c r="BE17" s="115"/>
      <c r="BF17" s="115"/>
    </row>
    <row r="18" spans="2:58">
      <c r="B18" s="116" t="s">
        <v>236</v>
      </c>
      <c r="C18" s="107" t="s">
        <v>193</v>
      </c>
      <c r="D18" s="114">
        <v>0</v>
      </c>
      <c r="E18" s="114">
        <v>0</v>
      </c>
      <c r="F18" s="114">
        <v>0</v>
      </c>
      <c r="G18" s="114">
        <v>0</v>
      </c>
      <c r="H18" s="114">
        <v>0</v>
      </c>
      <c r="I18" s="114">
        <v>0</v>
      </c>
      <c r="J18" s="114">
        <v>0</v>
      </c>
      <c r="K18" s="114">
        <v>0</v>
      </c>
      <c r="L18" s="114">
        <v>0</v>
      </c>
      <c r="M18" s="114">
        <v>0</v>
      </c>
      <c r="N18" s="114">
        <v>0</v>
      </c>
      <c r="O18" s="114">
        <v>0</v>
      </c>
      <c r="P18" s="114">
        <v>0</v>
      </c>
      <c r="Q18" s="114">
        <v>0</v>
      </c>
      <c r="R18" s="114">
        <v>0</v>
      </c>
      <c r="S18" s="114">
        <v>0</v>
      </c>
      <c r="T18" s="114">
        <v>0</v>
      </c>
      <c r="U18" s="114">
        <v>0</v>
      </c>
      <c r="V18" s="114">
        <v>0</v>
      </c>
      <c r="W18" s="114">
        <v>0</v>
      </c>
      <c r="X18" s="114">
        <v>0</v>
      </c>
      <c r="Y18" s="114">
        <v>0</v>
      </c>
      <c r="Z18" s="114">
        <v>0</v>
      </c>
      <c r="AA18" s="114">
        <v>0</v>
      </c>
      <c r="AB18" s="114">
        <v>0</v>
      </c>
      <c r="AC18" s="114">
        <v>0</v>
      </c>
      <c r="AD18" s="114">
        <v>0</v>
      </c>
      <c r="AE18" s="114">
        <v>0</v>
      </c>
      <c r="AF18" s="114">
        <v>0</v>
      </c>
      <c r="AG18" s="114">
        <v>0</v>
      </c>
      <c r="AH18" s="115"/>
      <c r="AI18" s="115"/>
      <c r="AJ18" s="115"/>
      <c r="AK18" s="115"/>
      <c r="AL18" s="115"/>
      <c r="AM18" s="115"/>
      <c r="AN18" s="115"/>
      <c r="AO18" s="115"/>
      <c r="AP18" s="115"/>
      <c r="AQ18" s="115"/>
      <c r="AR18" s="115"/>
      <c r="AS18" s="115"/>
      <c r="AT18" s="115"/>
      <c r="AU18" s="115"/>
      <c r="AV18" s="115"/>
      <c r="AW18" s="115"/>
      <c r="AX18" s="115"/>
      <c r="AY18" s="115"/>
      <c r="AZ18" s="115"/>
      <c r="BA18" s="115"/>
      <c r="BB18" s="115"/>
      <c r="BC18" s="115"/>
      <c r="BD18" s="115"/>
      <c r="BE18" s="115"/>
      <c r="BF18" s="115"/>
    </row>
    <row r="19" spans="2:58">
      <c r="B19" s="117"/>
      <c r="C19" s="107"/>
      <c r="D19" s="114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 s="114"/>
      <c r="AC19" s="114"/>
      <c r="AD19" s="114"/>
      <c r="AE19" s="114"/>
      <c r="AF19" s="114"/>
      <c r="AG19" s="114"/>
      <c r="AH19" s="115"/>
      <c r="AI19" s="115"/>
      <c r="AJ19" s="115"/>
      <c r="AK19" s="115"/>
      <c r="AL19" s="115"/>
      <c r="AM19" s="115"/>
      <c r="AN19" s="115"/>
      <c r="AO19" s="115"/>
      <c r="AP19" s="115"/>
      <c r="AQ19" s="115"/>
      <c r="AR19" s="115"/>
      <c r="AS19" s="115"/>
      <c r="AT19" s="115"/>
      <c r="AU19" s="115"/>
      <c r="AV19" s="115"/>
      <c r="AW19" s="115"/>
      <c r="AX19" s="115"/>
      <c r="AY19" s="115"/>
      <c r="AZ19" s="115"/>
      <c r="BA19" s="115"/>
      <c r="BB19" s="115"/>
      <c r="BC19" s="115"/>
      <c r="BD19" s="115"/>
      <c r="BE19" s="115"/>
      <c r="BF19" s="115"/>
    </row>
    <row r="20" spans="2:58" ht="15.6">
      <c r="B20" s="109" t="s">
        <v>82</v>
      </c>
      <c r="C20" s="106"/>
      <c r="D20" s="114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  <c r="Y20" s="114"/>
      <c r="Z20" s="114"/>
      <c r="AA20" s="114"/>
      <c r="AB20" s="114"/>
      <c r="AC20" s="114"/>
      <c r="AD20" s="114"/>
      <c r="AE20" s="114"/>
      <c r="AF20" s="114"/>
      <c r="AG20" s="114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15"/>
      <c r="BD20" s="115"/>
      <c r="BE20" s="115"/>
      <c r="BF20" s="115"/>
    </row>
    <row r="21" spans="2:58">
      <c r="B21" s="112" t="s">
        <v>133</v>
      </c>
      <c r="C21" s="110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4"/>
      <c r="AB21" s="114"/>
      <c r="AC21" s="114"/>
      <c r="AD21" s="114"/>
      <c r="AE21" s="114"/>
      <c r="AF21" s="114"/>
      <c r="AG21" s="114"/>
      <c r="AH21" s="115"/>
      <c r="AI21" s="115"/>
      <c r="AJ21" s="115"/>
      <c r="AK21" s="115"/>
      <c r="AL21" s="115"/>
      <c r="AM21" s="115"/>
      <c r="AN21" s="115"/>
      <c r="AO21" s="115"/>
      <c r="AP21" s="115"/>
      <c r="AQ21" s="115"/>
      <c r="AR21" s="115"/>
      <c r="AS21" s="115"/>
      <c r="AT21" s="115"/>
      <c r="AU21" s="115"/>
      <c r="AV21" s="115"/>
      <c r="AW21" s="115"/>
      <c r="AX21" s="115"/>
      <c r="AY21" s="115"/>
      <c r="AZ21" s="115"/>
      <c r="BA21" s="115"/>
      <c r="BB21" s="115"/>
      <c r="BC21" s="115"/>
      <c r="BD21" s="115"/>
      <c r="BE21" s="115"/>
      <c r="BF21" s="115"/>
    </row>
    <row r="22" spans="2:58">
      <c r="B22" s="116" t="s">
        <v>192</v>
      </c>
      <c r="C22" s="110" t="s">
        <v>110</v>
      </c>
      <c r="D22" s="114">
        <v>30</v>
      </c>
      <c r="E22" s="114">
        <v>0</v>
      </c>
      <c r="F22" s="114">
        <v>0</v>
      </c>
      <c r="G22" s="114">
        <v>0</v>
      </c>
      <c r="H22" s="114">
        <v>0</v>
      </c>
      <c r="I22" s="114">
        <v>0</v>
      </c>
      <c r="J22" s="114">
        <v>0</v>
      </c>
      <c r="K22" s="114">
        <v>0</v>
      </c>
      <c r="L22" s="114">
        <v>0</v>
      </c>
      <c r="M22" s="114">
        <v>0</v>
      </c>
      <c r="N22" s="114">
        <v>0</v>
      </c>
      <c r="O22" s="114">
        <v>0</v>
      </c>
      <c r="P22" s="114">
        <v>0</v>
      </c>
      <c r="Q22" s="114">
        <v>0</v>
      </c>
      <c r="R22" s="114">
        <v>15</v>
      </c>
      <c r="S22" s="114">
        <v>0</v>
      </c>
      <c r="T22" s="114">
        <v>0</v>
      </c>
      <c r="U22" s="114">
        <v>0</v>
      </c>
      <c r="V22" s="114">
        <v>0</v>
      </c>
      <c r="W22" s="114">
        <v>0</v>
      </c>
      <c r="X22" s="114">
        <v>0</v>
      </c>
      <c r="Y22" s="114">
        <v>0</v>
      </c>
      <c r="Z22" s="114">
        <v>0</v>
      </c>
      <c r="AA22" s="114">
        <v>0</v>
      </c>
      <c r="AB22" s="114">
        <v>0</v>
      </c>
      <c r="AC22" s="114">
        <v>0</v>
      </c>
      <c r="AD22" s="114">
        <v>0</v>
      </c>
      <c r="AE22" s="114">
        <v>0</v>
      </c>
      <c r="AF22" s="114">
        <v>0</v>
      </c>
      <c r="AG22" s="114">
        <v>0</v>
      </c>
      <c r="AH22" s="115"/>
      <c r="AI22" s="115"/>
      <c r="AJ22" s="115"/>
      <c r="AK22" s="115"/>
      <c r="AL22" s="115"/>
      <c r="AM22" s="115"/>
      <c r="AN22" s="115"/>
      <c r="AO22" s="115"/>
      <c r="AP22" s="115"/>
      <c r="AQ22" s="115"/>
      <c r="AR22" s="115"/>
      <c r="AS22" s="115"/>
      <c r="AT22" s="115"/>
      <c r="AU22" s="115"/>
      <c r="AV22" s="115"/>
      <c r="AW22" s="115"/>
      <c r="AX22" s="115"/>
      <c r="AY22" s="115"/>
      <c r="AZ22" s="115"/>
      <c r="BA22" s="115"/>
      <c r="BB22" s="115"/>
      <c r="BC22" s="115"/>
      <c r="BD22" s="115"/>
      <c r="BE22" s="115"/>
      <c r="BF22" s="115"/>
    </row>
    <row r="23" spans="2:58">
      <c r="B23" s="116" t="s">
        <v>191</v>
      </c>
      <c r="C23" s="110" t="s">
        <v>110</v>
      </c>
      <c r="D23" s="114">
        <v>0.5</v>
      </c>
      <c r="E23" s="114">
        <v>0</v>
      </c>
      <c r="F23" s="114">
        <v>0</v>
      </c>
      <c r="G23" s="114">
        <v>0</v>
      </c>
      <c r="H23" s="114">
        <v>0</v>
      </c>
      <c r="I23" s="114">
        <v>0</v>
      </c>
      <c r="J23" s="114">
        <v>0</v>
      </c>
      <c r="K23" s="114">
        <v>0</v>
      </c>
      <c r="L23" s="114">
        <v>0</v>
      </c>
      <c r="M23" s="114">
        <v>0</v>
      </c>
      <c r="N23" s="114">
        <v>0</v>
      </c>
      <c r="O23" s="114">
        <v>0</v>
      </c>
      <c r="P23" s="114">
        <v>0</v>
      </c>
      <c r="Q23" s="114">
        <v>0</v>
      </c>
      <c r="R23" s="114">
        <v>0.5</v>
      </c>
      <c r="S23" s="114">
        <v>0</v>
      </c>
      <c r="T23" s="114">
        <v>0</v>
      </c>
      <c r="U23" s="114">
        <v>0</v>
      </c>
      <c r="V23" s="114">
        <v>0</v>
      </c>
      <c r="W23" s="114">
        <v>0</v>
      </c>
      <c r="X23" s="114">
        <v>0</v>
      </c>
      <c r="Y23" s="114">
        <v>0</v>
      </c>
      <c r="Z23" s="114">
        <v>0</v>
      </c>
      <c r="AA23" s="114">
        <v>0</v>
      </c>
      <c r="AB23" s="114">
        <v>0</v>
      </c>
      <c r="AC23" s="114">
        <v>0</v>
      </c>
      <c r="AD23" s="114">
        <v>0</v>
      </c>
      <c r="AE23" s="114">
        <v>0</v>
      </c>
      <c r="AF23" s="114">
        <v>0</v>
      </c>
      <c r="AG23" s="114">
        <v>0</v>
      </c>
      <c r="AH23" s="115"/>
      <c r="AI23" s="115"/>
      <c r="AJ23" s="115"/>
      <c r="AK23" s="115"/>
      <c r="AL23" s="115"/>
      <c r="AM23" s="115"/>
      <c r="AN23" s="115"/>
      <c r="AO23" s="115"/>
      <c r="AP23" s="115"/>
      <c r="AQ23" s="115"/>
      <c r="AR23" s="115"/>
      <c r="AS23" s="115"/>
      <c r="AT23" s="115"/>
      <c r="AU23" s="115"/>
      <c r="AV23" s="115"/>
      <c r="AW23" s="115"/>
      <c r="AX23" s="115"/>
      <c r="AY23" s="115"/>
      <c r="AZ23" s="115"/>
      <c r="BA23" s="115"/>
      <c r="BB23" s="115"/>
      <c r="BC23" s="115"/>
      <c r="BD23" s="115"/>
      <c r="BE23" s="115"/>
      <c r="BF23" s="115"/>
    </row>
    <row r="24" spans="2:58">
      <c r="B24" s="116" t="s">
        <v>190</v>
      </c>
      <c r="C24" s="110" t="s">
        <v>110</v>
      </c>
      <c r="D24" s="114">
        <v>14</v>
      </c>
      <c r="E24" s="114">
        <v>0</v>
      </c>
      <c r="F24" s="114">
        <v>0</v>
      </c>
      <c r="G24" s="114">
        <v>0</v>
      </c>
      <c r="H24" s="114">
        <v>0</v>
      </c>
      <c r="I24" s="114">
        <v>0</v>
      </c>
      <c r="J24" s="114">
        <v>0</v>
      </c>
      <c r="K24" s="114">
        <v>0</v>
      </c>
      <c r="L24" s="114">
        <v>0</v>
      </c>
      <c r="M24" s="114">
        <v>0</v>
      </c>
      <c r="N24" s="114">
        <v>0</v>
      </c>
      <c r="O24" s="114">
        <v>0</v>
      </c>
      <c r="P24" s="114">
        <v>0</v>
      </c>
      <c r="Q24" s="114">
        <v>0</v>
      </c>
      <c r="R24" s="114">
        <v>7</v>
      </c>
      <c r="S24" s="114">
        <v>0</v>
      </c>
      <c r="T24" s="114">
        <v>0</v>
      </c>
      <c r="U24" s="114">
        <v>0</v>
      </c>
      <c r="V24" s="114">
        <v>0</v>
      </c>
      <c r="W24" s="114">
        <v>0</v>
      </c>
      <c r="X24" s="114">
        <v>0</v>
      </c>
      <c r="Y24" s="114">
        <v>0</v>
      </c>
      <c r="Z24" s="114">
        <v>0</v>
      </c>
      <c r="AA24" s="114">
        <v>0</v>
      </c>
      <c r="AB24" s="114">
        <v>0</v>
      </c>
      <c r="AC24" s="114">
        <v>0</v>
      </c>
      <c r="AD24" s="114">
        <v>0</v>
      </c>
      <c r="AE24" s="114">
        <v>0</v>
      </c>
      <c r="AF24" s="114">
        <v>0</v>
      </c>
      <c r="AG24" s="114">
        <v>0</v>
      </c>
      <c r="AH24" s="115"/>
      <c r="AI24" s="115"/>
      <c r="AJ24" s="115"/>
      <c r="AK24" s="115"/>
      <c r="AL24" s="115"/>
      <c r="AM24" s="115"/>
      <c r="AN24" s="115"/>
      <c r="AO24" s="115"/>
      <c r="AP24" s="115"/>
      <c r="AQ24" s="115"/>
      <c r="AR24" s="115"/>
      <c r="AS24" s="115"/>
      <c r="AT24" s="115"/>
      <c r="AU24" s="115"/>
      <c r="AV24" s="115"/>
      <c r="AW24" s="115"/>
      <c r="AX24" s="115"/>
      <c r="AY24" s="115"/>
      <c r="AZ24" s="115"/>
      <c r="BA24" s="115"/>
      <c r="BB24" s="115"/>
      <c r="BC24" s="115"/>
      <c r="BD24" s="115"/>
      <c r="BE24" s="115"/>
      <c r="BF24" s="115"/>
    </row>
    <row r="25" spans="2:58">
      <c r="B25" s="116" t="s">
        <v>189</v>
      </c>
      <c r="C25" s="110" t="s">
        <v>110</v>
      </c>
      <c r="D25" s="114">
        <v>80</v>
      </c>
      <c r="E25" s="114">
        <v>0</v>
      </c>
      <c r="F25" s="114">
        <v>0</v>
      </c>
      <c r="G25" s="114">
        <v>0</v>
      </c>
      <c r="H25" s="114">
        <v>0</v>
      </c>
      <c r="I25" s="114">
        <v>0</v>
      </c>
      <c r="J25" s="114">
        <v>0</v>
      </c>
      <c r="K25" s="114">
        <v>0</v>
      </c>
      <c r="L25" s="114">
        <v>0</v>
      </c>
      <c r="M25" s="114">
        <v>0</v>
      </c>
      <c r="N25" s="114">
        <v>0</v>
      </c>
      <c r="O25" s="114">
        <v>0</v>
      </c>
      <c r="P25" s="114">
        <v>0</v>
      </c>
      <c r="Q25" s="114">
        <v>0</v>
      </c>
      <c r="R25" s="114">
        <v>80</v>
      </c>
      <c r="S25" s="114">
        <v>0</v>
      </c>
      <c r="T25" s="114">
        <v>0</v>
      </c>
      <c r="U25" s="114">
        <v>0</v>
      </c>
      <c r="V25" s="114">
        <v>0</v>
      </c>
      <c r="W25" s="114">
        <v>0</v>
      </c>
      <c r="X25" s="114">
        <v>0</v>
      </c>
      <c r="Y25" s="114">
        <v>0</v>
      </c>
      <c r="Z25" s="114">
        <v>0</v>
      </c>
      <c r="AA25" s="114">
        <v>0</v>
      </c>
      <c r="AB25" s="114">
        <v>0</v>
      </c>
      <c r="AC25" s="114">
        <v>0</v>
      </c>
      <c r="AD25" s="114">
        <v>0</v>
      </c>
      <c r="AE25" s="114">
        <v>0</v>
      </c>
      <c r="AF25" s="114">
        <v>0</v>
      </c>
      <c r="AG25" s="114">
        <v>0</v>
      </c>
      <c r="AH25" s="115"/>
      <c r="AI25" s="115"/>
      <c r="AJ25" s="115"/>
      <c r="AK25" s="115"/>
      <c r="AL25" s="115"/>
      <c r="AM25" s="115"/>
      <c r="AN25" s="115"/>
      <c r="AO25" s="115"/>
      <c r="AP25" s="115"/>
      <c r="AQ25" s="115"/>
      <c r="AR25" s="115"/>
      <c r="AS25" s="115"/>
      <c r="AT25" s="115"/>
      <c r="AU25" s="115"/>
      <c r="AV25" s="115"/>
      <c r="AW25" s="115"/>
      <c r="AX25" s="115"/>
      <c r="AY25" s="115"/>
      <c r="AZ25" s="115"/>
      <c r="BA25" s="115"/>
      <c r="BB25" s="115"/>
      <c r="BC25" s="115"/>
      <c r="BD25" s="115"/>
      <c r="BE25" s="115"/>
      <c r="BF25" s="115"/>
    </row>
    <row r="26" spans="2:58">
      <c r="B26" s="116" t="s">
        <v>188</v>
      </c>
      <c r="C26" s="110" t="s">
        <v>110</v>
      </c>
      <c r="D26" s="114">
        <v>40</v>
      </c>
      <c r="E26" s="114">
        <v>0</v>
      </c>
      <c r="F26" s="114">
        <v>0</v>
      </c>
      <c r="G26" s="114">
        <v>0</v>
      </c>
      <c r="H26" s="114">
        <v>0</v>
      </c>
      <c r="I26" s="114">
        <v>0</v>
      </c>
      <c r="J26" s="114">
        <v>0</v>
      </c>
      <c r="K26" s="114">
        <v>0</v>
      </c>
      <c r="L26" s="114">
        <v>0</v>
      </c>
      <c r="M26" s="114">
        <v>0</v>
      </c>
      <c r="N26" s="114">
        <v>0</v>
      </c>
      <c r="O26" s="114">
        <v>0</v>
      </c>
      <c r="P26" s="114">
        <v>0</v>
      </c>
      <c r="Q26" s="114">
        <v>0</v>
      </c>
      <c r="R26" s="114">
        <v>40</v>
      </c>
      <c r="S26" s="114">
        <v>0</v>
      </c>
      <c r="T26" s="114">
        <v>0</v>
      </c>
      <c r="U26" s="114">
        <v>0</v>
      </c>
      <c r="V26" s="114">
        <v>0</v>
      </c>
      <c r="W26" s="114">
        <v>0</v>
      </c>
      <c r="X26" s="114">
        <v>0</v>
      </c>
      <c r="Y26" s="114">
        <v>0</v>
      </c>
      <c r="Z26" s="114">
        <v>0</v>
      </c>
      <c r="AA26" s="114">
        <v>0</v>
      </c>
      <c r="AB26" s="114">
        <v>0</v>
      </c>
      <c r="AC26" s="114">
        <v>0</v>
      </c>
      <c r="AD26" s="114">
        <v>0</v>
      </c>
      <c r="AE26" s="114">
        <v>0</v>
      </c>
      <c r="AF26" s="114">
        <v>0</v>
      </c>
      <c r="AG26" s="114">
        <v>0</v>
      </c>
      <c r="AH26" s="115"/>
      <c r="AI26" s="115"/>
      <c r="AJ26" s="115"/>
      <c r="AK26" s="115"/>
      <c r="AL26" s="115"/>
      <c r="AM26" s="115"/>
      <c r="AN26" s="115"/>
      <c r="AO26" s="115"/>
      <c r="AP26" s="115"/>
      <c r="AQ26" s="115"/>
      <c r="AR26" s="115"/>
      <c r="AS26" s="115"/>
      <c r="AT26" s="115"/>
      <c r="AU26" s="115"/>
      <c r="AV26" s="115"/>
      <c r="AW26" s="115"/>
      <c r="AX26" s="115"/>
      <c r="AY26" s="115"/>
      <c r="AZ26" s="115"/>
      <c r="BA26" s="115"/>
      <c r="BB26" s="115"/>
      <c r="BC26" s="115"/>
      <c r="BD26" s="115"/>
      <c r="BE26" s="115"/>
      <c r="BF26" s="115"/>
    </row>
    <row r="27" spans="2:58">
      <c r="B27" s="118"/>
      <c r="C27" s="111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114"/>
      <c r="AC27" s="114"/>
      <c r="AD27" s="114"/>
      <c r="AE27" s="114"/>
      <c r="AF27" s="114"/>
      <c r="AG27" s="114"/>
      <c r="AH27" s="115"/>
      <c r="AI27" s="115"/>
      <c r="AJ27" s="115"/>
      <c r="AK27" s="115"/>
      <c r="AL27" s="115"/>
      <c r="AM27" s="115"/>
      <c r="AN27" s="115"/>
      <c r="AO27" s="115"/>
      <c r="AP27" s="115"/>
      <c r="AQ27" s="115"/>
      <c r="AR27" s="115"/>
      <c r="AS27" s="115"/>
      <c r="AT27" s="115"/>
      <c r="AU27" s="115"/>
      <c r="AV27" s="115"/>
      <c r="AW27" s="115"/>
      <c r="AX27" s="115"/>
      <c r="AY27" s="115"/>
      <c r="AZ27" s="115"/>
      <c r="BA27" s="115"/>
      <c r="BB27" s="115"/>
      <c r="BC27" s="115"/>
      <c r="BD27" s="115"/>
      <c r="BE27" s="115"/>
      <c r="BF27" s="115"/>
    </row>
    <row r="28" spans="2:58">
      <c r="B28" s="119" t="s">
        <v>187</v>
      </c>
      <c r="C28" s="120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114"/>
      <c r="AA28" s="114"/>
      <c r="AB28" s="114"/>
      <c r="AC28" s="114"/>
      <c r="AD28" s="114"/>
      <c r="AE28" s="114"/>
      <c r="AF28" s="114"/>
      <c r="AG28" s="114"/>
      <c r="AH28" s="115"/>
      <c r="AI28" s="115"/>
      <c r="AJ28" s="115"/>
      <c r="AK28" s="115"/>
      <c r="AL28" s="115"/>
      <c r="AM28" s="115"/>
      <c r="AN28" s="115"/>
      <c r="AO28" s="115"/>
      <c r="AP28" s="115"/>
      <c r="AQ28" s="115"/>
      <c r="AR28" s="115"/>
      <c r="AS28" s="115"/>
      <c r="AT28" s="115"/>
      <c r="AU28" s="115"/>
      <c r="AV28" s="115"/>
      <c r="AW28" s="115"/>
      <c r="AX28" s="115"/>
      <c r="AY28" s="115"/>
      <c r="AZ28" s="115"/>
      <c r="BA28" s="115"/>
      <c r="BB28" s="115"/>
      <c r="BC28" s="115"/>
      <c r="BD28" s="115"/>
      <c r="BE28" s="115"/>
      <c r="BF28" s="115"/>
    </row>
    <row r="29" spans="2:58">
      <c r="B29" s="116" t="s">
        <v>234</v>
      </c>
      <c r="C29" s="110" t="s">
        <v>110</v>
      </c>
      <c r="D29" s="114">
        <v>0</v>
      </c>
      <c r="E29" s="114">
        <v>0</v>
      </c>
      <c r="F29" s="114">
        <v>0</v>
      </c>
      <c r="G29" s="114">
        <v>0</v>
      </c>
      <c r="H29" s="114">
        <v>0</v>
      </c>
      <c r="I29" s="114">
        <v>0</v>
      </c>
      <c r="J29" s="114">
        <v>0</v>
      </c>
      <c r="K29" s="114">
        <v>0</v>
      </c>
      <c r="L29" s="114">
        <v>0</v>
      </c>
      <c r="M29" s="114">
        <v>0</v>
      </c>
      <c r="N29" s="114">
        <v>0</v>
      </c>
      <c r="O29" s="114">
        <v>0</v>
      </c>
      <c r="P29" s="114">
        <v>0</v>
      </c>
      <c r="Q29" s="114">
        <v>0</v>
      </c>
      <c r="R29" s="114">
        <v>0</v>
      </c>
      <c r="S29" s="114">
        <v>0</v>
      </c>
      <c r="T29" s="114">
        <v>0</v>
      </c>
      <c r="U29" s="114">
        <v>0</v>
      </c>
      <c r="V29" s="114">
        <v>0</v>
      </c>
      <c r="W29" s="114">
        <v>0</v>
      </c>
      <c r="X29" s="114">
        <v>0</v>
      </c>
      <c r="Y29" s="114">
        <v>0</v>
      </c>
      <c r="Z29" s="114">
        <v>0</v>
      </c>
      <c r="AA29" s="114">
        <v>0</v>
      </c>
      <c r="AB29" s="114">
        <v>0</v>
      </c>
      <c r="AC29" s="114">
        <v>0</v>
      </c>
      <c r="AD29" s="114">
        <v>0</v>
      </c>
      <c r="AE29" s="114">
        <v>0</v>
      </c>
      <c r="AF29" s="114">
        <v>0</v>
      </c>
      <c r="AG29" s="114">
        <v>0</v>
      </c>
      <c r="AH29" s="115"/>
      <c r="AI29" s="115"/>
      <c r="AJ29" s="115"/>
      <c r="AK29" s="115"/>
      <c r="AL29" s="115"/>
      <c r="AM29" s="115"/>
      <c r="AN29" s="115"/>
      <c r="AO29" s="115"/>
      <c r="AP29" s="115"/>
      <c r="AQ29" s="115"/>
      <c r="AR29" s="115"/>
      <c r="AS29" s="115"/>
      <c r="AT29" s="115"/>
      <c r="AU29" s="115"/>
      <c r="AV29" s="115"/>
      <c r="AW29" s="115"/>
      <c r="AX29" s="115"/>
      <c r="AY29" s="115"/>
      <c r="AZ29" s="115"/>
      <c r="BA29" s="115"/>
      <c r="BB29" s="115"/>
      <c r="BC29" s="115"/>
      <c r="BD29" s="115"/>
      <c r="BE29" s="115"/>
      <c r="BF29" s="115"/>
    </row>
    <row r="30" spans="2:58">
      <c r="B30" s="116" t="s">
        <v>235</v>
      </c>
      <c r="C30" s="110" t="s">
        <v>110</v>
      </c>
      <c r="D30" s="114">
        <v>0</v>
      </c>
      <c r="E30" s="114">
        <v>0</v>
      </c>
      <c r="F30" s="114">
        <v>0</v>
      </c>
      <c r="G30" s="114">
        <v>0</v>
      </c>
      <c r="H30" s="114">
        <v>0</v>
      </c>
      <c r="I30" s="114">
        <v>0</v>
      </c>
      <c r="J30" s="114">
        <v>0</v>
      </c>
      <c r="K30" s="114">
        <v>0</v>
      </c>
      <c r="L30" s="114">
        <v>0</v>
      </c>
      <c r="M30" s="114">
        <v>0</v>
      </c>
      <c r="N30" s="114">
        <v>0</v>
      </c>
      <c r="O30" s="114">
        <v>0</v>
      </c>
      <c r="P30" s="114">
        <v>0</v>
      </c>
      <c r="Q30" s="114">
        <v>0</v>
      </c>
      <c r="R30" s="114">
        <v>0</v>
      </c>
      <c r="S30" s="114">
        <v>0</v>
      </c>
      <c r="T30" s="114">
        <v>0</v>
      </c>
      <c r="U30" s="114">
        <v>0</v>
      </c>
      <c r="V30" s="114">
        <v>0</v>
      </c>
      <c r="W30" s="114">
        <v>0</v>
      </c>
      <c r="X30" s="114">
        <v>0</v>
      </c>
      <c r="Y30" s="114">
        <v>0</v>
      </c>
      <c r="Z30" s="114">
        <v>0</v>
      </c>
      <c r="AA30" s="114">
        <v>0</v>
      </c>
      <c r="AB30" s="114">
        <v>0</v>
      </c>
      <c r="AC30" s="114">
        <v>0</v>
      </c>
      <c r="AD30" s="114">
        <v>0</v>
      </c>
      <c r="AE30" s="114">
        <v>0</v>
      </c>
      <c r="AF30" s="114">
        <v>0</v>
      </c>
      <c r="AG30" s="114">
        <v>0</v>
      </c>
      <c r="AH30" s="115"/>
      <c r="AI30" s="115"/>
      <c r="AJ30" s="115"/>
      <c r="AK30" s="115"/>
      <c r="AL30" s="115"/>
      <c r="AM30" s="115"/>
      <c r="AN30" s="115"/>
      <c r="AO30" s="115"/>
      <c r="AP30" s="115"/>
      <c r="AQ30" s="115"/>
      <c r="AR30" s="115"/>
      <c r="AS30" s="115"/>
      <c r="AT30" s="115"/>
      <c r="AU30" s="115"/>
      <c r="AV30" s="115"/>
      <c r="AW30" s="115"/>
      <c r="AX30" s="115"/>
      <c r="AY30" s="115"/>
      <c r="AZ30" s="115"/>
      <c r="BA30" s="115"/>
      <c r="BB30" s="115"/>
      <c r="BC30" s="115"/>
      <c r="BD30" s="115"/>
      <c r="BE30" s="115"/>
      <c r="BF30" s="115"/>
    </row>
    <row r="31" spans="2:58">
      <c r="B31" s="116" t="s">
        <v>236</v>
      </c>
      <c r="C31" s="110" t="s">
        <v>110</v>
      </c>
      <c r="D31" s="114">
        <v>0</v>
      </c>
      <c r="E31" s="114">
        <v>0</v>
      </c>
      <c r="F31" s="114">
        <v>0</v>
      </c>
      <c r="G31" s="114">
        <v>0</v>
      </c>
      <c r="H31" s="114">
        <v>0</v>
      </c>
      <c r="I31" s="114">
        <v>0</v>
      </c>
      <c r="J31" s="114">
        <v>0</v>
      </c>
      <c r="K31" s="114">
        <v>0</v>
      </c>
      <c r="L31" s="114">
        <v>0</v>
      </c>
      <c r="M31" s="114">
        <v>0</v>
      </c>
      <c r="N31" s="114">
        <v>0</v>
      </c>
      <c r="O31" s="114">
        <v>0</v>
      </c>
      <c r="P31" s="114">
        <v>0</v>
      </c>
      <c r="Q31" s="114">
        <v>0</v>
      </c>
      <c r="R31" s="114">
        <v>0</v>
      </c>
      <c r="S31" s="114">
        <v>0</v>
      </c>
      <c r="T31" s="114">
        <v>0</v>
      </c>
      <c r="U31" s="114">
        <v>0</v>
      </c>
      <c r="V31" s="114">
        <v>0</v>
      </c>
      <c r="W31" s="114">
        <v>0</v>
      </c>
      <c r="X31" s="114">
        <v>0</v>
      </c>
      <c r="Y31" s="114">
        <v>0</v>
      </c>
      <c r="Z31" s="114">
        <v>0</v>
      </c>
      <c r="AA31" s="114">
        <v>0</v>
      </c>
      <c r="AB31" s="114">
        <v>0</v>
      </c>
      <c r="AC31" s="114">
        <v>0</v>
      </c>
      <c r="AD31" s="114">
        <v>0</v>
      </c>
      <c r="AE31" s="114">
        <v>0</v>
      </c>
      <c r="AF31" s="114">
        <v>0</v>
      </c>
      <c r="AG31" s="114">
        <v>0</v>
      </c>
      <c r="AH31" s="115"/>
      <c r="AI31" s="115"/>
      <c r="AJ31" s="115"/>
      <c r="AK31" s="115"/>
      <c r="AL31" s="115"/>
      <c r="AM31" s="115"/>
      <c r="AN31" s="115"/>
      <c r="AO31" s="115"/>
      <c r="AP31" s="115"/>
      <c r="AQ31" s="115"/>
      <c r="AR31" s="115"/>
      <c r="AS31" s="115"/>
      <c r="AT31" s="115"/>
      <c r="AU31" s="115"/>
      <c r="AV31" s="115"/>
      <c r="AW31" s="115"/>
      <c r="AX31" s="115"/>
      <c r="AY31" s="115"/>
      <c r="AZ31" s="115"/>
      <c r="BA31" s="115"/>
      <c r="BB31" s="115"/>
      <c r="BC31" s="115"/>
      <c r="BD31" s="115"/>
      <c r="BE31" s="115"/>
      <c r="BF31" s="115"/>
    </row>
    <row r="32" spans="2:58">
      <c r="B32" s="117"/>
      <c r="C32" s="110"/>
      <c r="D32" s="114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/>
      <c r="S32" s="114"/>
      <c r="T32" s="114"/>
      <c r="U32" s="114"/>
      <c r="V32" s="114"/>
      <c r="W32" s="114"/>
      <c r="X32" s="114"/>
      <c r="Y32" s="114"/>
      <c r="Z32" s="114"/>
      <c r="AA32" s="114"/>
      <c r="AB32" s="114"/>
      <c r="AC32" s="114"/>
      <c r="AD32" s="114"/>
      <c r="AE32" s="114"/>
      <c r="AF32" s="114"/>
      <c r="AG32" s="114"/>
      <c r="AH32" s="115"/>
      <c r="AI32" s="115"/>
      <c r="AJ32" s="115"/>
      <c r="AK32" s="115"/>
      <c r="AL32" s="115"/>
      <c r="AM32" s="115"/>
      <c r="AN32" s="115"/>
      <c r="AO32" s="115"/>
      <c r="AP32" s="115"/>
      <c r="AQ32" s="115"/>
      <c r="AR32" s="115"/>
      <c r="AS32" s="115"/>
      <c r="AT32" s="115"/>
      <c r="AU32" s="115"/>
      <c r="AV32" s="115"/>
      <c r="AW32" s="115"/>
      <c r="AX32" s="115"/>
      <c r="AY32" s="115"/>
      <c r="AZ32" s="115"/>
      <c r="BA32" s="115"/>
      <c r="BB32" s="115"/>
      <c r="BC32" s="115"/>
      <c r="BD32" s="115"/>
      <c r="BE32" s="115"/>
      <c r="BF32" s="115"/>
    </row>
    <row r="33" spans="2:58">
      <c r="B33" s="121" t="s">
        <v>134</v>
      </c>
      <c r="C33" s="110"/>
      <c r="D33" s="114"/>
      <c r="E33" s="114"/>
      <c r="F33" s="114"/>
      <c r="G33" s="114"/>
      <c r="H33" s="114"/>
      <c r="I33" s="114"/>
      <c r="J33" s="114"/>
      <c r="K33" s="114"/>
      <c r="L33" s="114"/>
      <c r="M33" s="114"/>
      <c r="N33" s="114"/>
      <c r="O33" s="114"/>
      <c r="P33" s="114"/>
      <c r="Q33" s="114"/>
      <c r="R33" s="114"/>
      <c r="S33" s="114"/>
      <c r="T33" s="114"/>
      <c r="U33" s="114"/>
      <c r="V33" s="114"/>
      <c r="W33" s="114"/>
      <c r="X33" s="114"/>
      <c r="Y33" s="114"/>
      <c r="Z33" s="114"/>
      <c r="AA33" s="114"/>
      <c r="AB33" s="114"/>
      <c r="AC33" s="114"/>
      <c r="AD33" s="114"/>
      <c r="AE33" s="114"/>
      <c r="AF33" s="114"/>
      <c r="AG33" s="114"/>
      <c r="AH33" s="115"/>
      <c r="AI33" s="115"/>
      <c r="AJ33" s="115"/>
      <c r="AK33" s="115"/>
      <c r="AL33" s="115"/>
      <c r="AM33" s="115"/>
      <c r="AN33" s="115"/>
      <c r="AO33" s="115"/>
      <c r="AP33" s="115"/>
      <c r="AQ33" s="115"/>
      <c r="AR33" s="115"/>
      <c r="AS33" s="115"/>
      <c r="AT33" s="115"/>
      <c r="AU33" s="115"/>
      <c r="AV33" s="115"/>
      <c r="AW33" s="115"/>
      <c r="AX33" s="115"/>
      <c r="AY33" s="115"/>
      <c r="AZ33" s="115"/>
      <c r="BA33" s="115"/>
      <c r="BB33" s="115"/>
      <c r="BC33" s="115"/>
      <c r="BD33" s="115"/>
      <c r="BE33" s="115"/>
      <c r="BF33" s="115"/>
    </row>
    <row r="34" spans="2:58">
      <c r="B34" s="116" t="s">
        <v>234</v>
      </c>
      <c r="C34" s="110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114"/>
      <c r="AA34" s="114"/>
      <c r="AB34" s="114"/>
      <c r="AC34" s="114"/>
      <c r="AD34" s="114"/>
      <c r="AE34" s="114"/>
      <c r="AF34" s="114"/>
      <c r="AG34" s="114"/>
      <c r="AH34" s="115"/>
      <c r="AI34" s="115"/>
      <c r="AJ34" s="115"/>
      <c r="AK34" s="115"/>
      <c r="AL34" s="115"/>
      <c r="AM34" s="115"/>
      <c r="AN34" s="115"/>
      <c r="AO34" s="115"/>
      <c r="AP34" s="115"/>
      <c r="AQ34" s="115"/>
      <c r="AR34" s="115"/>
      <c r="AS34" s="115"/>
      <c r="AT34" s="115"/>
      <c r="AU34" s="115"/>
      <c r="AV34" s="115"/>
      <c r="AW34" s="115"/>
      <c r="AX34" s="115"/>
      <c r="AY34" s="115"/>
      <c r="AZ34" s="115"/>
      <c r="BA34" s="115"/>
      <c r="BB34" s="115"/>
      <c r="BC34" s="115"/>
      <c r="BD34" s="115"/>
      <c r="BE34" s="115"/>
      <c r="BF34" s="115"/>
    </row>
    <row r="35" spans="2:58">
      <c r="B35" s="122" t="s">
        <v>185</v>
      </c>
      <c r="C35" s="110" t="s">
        <v>110</v>
      </c>
      <c r="D35" s="114">
        <v>0</v>
      </c>
      <c r="E35" s="114">
        <v>30</v>
      </c>
      <c r="F35" s="114">
        <v>30</v>
      </c>
      <c r="G35" s="114">
        <v>0</v>
      </c>
      <c r="H35" s="114">
        <v>0</v>
      </c>
      <c r="I35" s="114">
        <v>0</v>
      </c>
      <c r="J35" s="114">
        <v>0</v>
      </c>
      <c r="K35" s="114">
        <v>0</v>
      </c>
      <c r="L35" s="114">
        <v>0</v>
      </c>
      <c r="M35" s="114">
        <v>0</v>
      </c>
      <c r="N35" s="114">
        <v>0</v>
      </c>
      <c r="O35" s="114">
        <v>0</v>
      </c>
      <c r="P35" s="114">
        <v>0</v>
      </c>
      <c r="Q35" s="114">
        <v>0</v>
      </c>
      <c r="R35" s="114">
        <v>0</v>
      </c>
      <c r="S35" s="114">
        <v>30</v>
      </c>
      <c r="T35" s="114">
        <v>30</v>
      </c>
      <c r="U35" s="114">
        <v>0</v>
      </c>
      <c r="V35" s="114">
        <v>0</v>
      </c>
      <c r="W35" s="114">
        <v>0</v>
      </c>
      <c r="X35" s="114">
        <v>0</v>
      </c>
      <c r="Y35" s="114">
        <v>0</v>
      </c>
      <c r="Z35" s="114">
        <v>0</v>
      </c>
      <c r="AA35" s="114">
        <v>0</v>
      </c>
      <c r="AB35" s="114">
        <v>0</v>
      </c>
      <c r="AC35" s="114">
        <v>0</v>
      </c>
      <c r="AD35" s="114">
        <v>0</v>
      </c>
      <c r="AE35" s="114">
        <v>0</v>
      </c>
      <c r="AF35" s="114">
        <v>0</v>
      </c>
      <c r="AG35" s="114">
        <v>0</v>
      </c>
      <c r="AH35" s="115"/>
      <c r="AI35" s="115"/>
      <c r="AJ35" s="115"/>
      <c r="AK35" s="115"/>
      <c r="AL35" s="115"/>
      <c r="AM35" s="115"/>
      <c r="AN35" s="115"/>
      <c r="AO35" s="115"/>
      <c r="AP35" s="115"/>
      <c r="AQ35" s="115"/>
      <c r="AR35" s="115"/>
      <c r="AS35" s="115"/>
      <c r="AT35" s="115"/>
      <c r="AU35" s="115"/>
      <c r="AV35" s="115"/>
      <c r="AW35" s="115"/>
      <c r="AX35" s="115"/>
      <c r="AY35" s="115"/>
      <c r="AZ35" s="115"/>
      <c r="BA35" s="115"/>
      <c r="BB35" s="115"/>
      <c r="BC35" s="115"/>
      <c r="BD35" s="115"/>
      <c r="BE35" s="115"/>
      <c r="BF35" s="115"/>
    </row>
    <row r="36" spans="2:58">
      <c r="B36" s="122" t="s">
        <v>184</v>
      </c>
      <c r="C36" s="110" t="s">
        <v>110</v>
      </c>
      <c r="D36" s="114">
        <v>0</v>
      </c>
      <c r="E36" s="114">
        <v>20</v>
      </c>
      <c r="F36" s="114">
        <v>20</v>
      </c>
      <c r="G36" s="114">
        <v>0</v>
      </c>
      <c r="H36" s="114">
        <v>0</v>
      </c>
      <c r="I36" s="114">
        <v>0</v>
      </c>
      <c r="J36" s="114">
        <v>0</v>
      </c>
      <c r="K36" s="114">
        <v>0</v>
      </c>
      <c r="L36" s="114">
        <v>0</v>
      </c>
      <c r="M36" s="114">
        <v>0</v>
      </c>
      <c r="N36" s="114">
        <v>0</v>
      </c>
      <c r="O36" s="114">
        <v>0</v>
      </c>
      <c r="P36" s="114">
        <v>0</v>
      </c>
      <c r="Q36" s="114">
        <v>0</v>
      </c>
      <c r="R36" s="114">
        <v>0</v>
      </c>
      <c r="S36" s="114">
        <v>20</v>
      </c>
      <c r="T36" s="114">
        <v>20</v>
      </c>
      <c r="U36" s="114">
        <v>0</v>
      </c>
      <c r="V36" s="114">
        <v>0</v>
      </c>
      <c r="W36" s="114">
        <v>0</v>
      </c>
      <c r="X36" s="114">
        <v>0</v>
      </c>
      <c r="Y36" s="114">
        <v>0</v>
      </c>
      <c r="Z36" s="114">
        <v>0</v>
      </c>
      <c r="AA36" s="114">
        <v>0</v>
      </c>
      <c r="AB36" s="114">
        <v>0</v>
      </c>
      <c r="AC36" s="114">
        <v>0</v>
      </c>
      <c r="AD36" s="114">
        <v>0</v>
      </c>
      <c r="AE36" s="114">
        <v>0</v>
      </c>
      <c r="AF36" s="114">
        <v>0</v>
      </c>
      <c r="AG36" s="114">
        <v>0</v>
      </c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  <c r="AZ36" s="115"/>
      <c r="BA36" s="115"/>
      <c r="BB36" s="115"/>
      <c r="BC36" s="115"/>
      <c r="BD36" s="115"/>
      <c r="BE36" s="115"/>
      <c r="BF36" s="115"/>
    </row>
    <row r="37" spans="2:58">
      <c r="B37" s="122" t="s">
        <v>134</v>
      </c>
      <c r="C37" s="110" t="s">
        <v>110</v>
      </c>
      <c r="D37" s="114">
        <v>0</v>
      </c>
      <c r="E37" s="114">
        <v>3</v>
      </c>
      <c r="F37" s="114">
        <v>3</v>
      </c>
      <c r="G37" s="114">
        <v>0</v>
      </c>
      <c r="H37" s="114">
        <v>0</v>
      </c>
      <c r="I37" s="114">
        <v>0</v>
      </c>
      <c r="J37" s="114">
        <v>0</v>
      </c>
      <c r="K37" s="114">
        <v>0</v>
      </c>
      <c r="L37" s="114">
        <v>0</v>
      </c>
      <c r="M37" s="114">
        <v>0</v>
      </c>
      <c r="N37" s="114">
        <v>0</v>
      </c>
      <c r="O37" s="114">
        <v>0</v>
      </c>
      <c r="P37" s="114">
        <v>0</v>
      </c>
      <c r="Q37" s="114">
        <v>0</v>
      </c>
      <c r="R37" s="114">
        <v>0</v>
      </c>
      <c r="S37" s="114">
        <v>3</v>
      </c>
      <c r="T37" s="114">
        <v>3</v>
      </c>
      <c r="U37" s="114">
        <v>0</v>
      </c>
      <c r="V37" s="114">
        <v>0</v>
      </c>
      <c r="W37" s="114">
        <v>0</v>
      </c>
      <c r="X37" s="114">
        <v>0</v>
      </c>
      <c r="Y37" s="114">
        <v>0</v>
      </c>
      <c r="Z37" s="114">
        <v>0</v>
      </c>
      <c r="AA37" s="114">
        <v>0</v>
      </c>
      <c r="AB37" s="114">
        <v>0</v>
      </c>
      <c r="AC37" s="114">
        <v>0</v>
      </c>
      <c r="AD37" s="114">
        <v>0</v>
      </c>
      <c r="AE37" s="114">
        <v>0</v>
      </c>
      <c r="AF37" s="114">
        <v>0</v>
      </c>
      <c r="AG37" s="114">
        <v>0</v>
      </c>
      <c r="AH37" s="115"/>
      <c r="AI37" s="115"/>
      <c r="AJ37" s="115"/>
      <c r="AK37" s="115"/>
      <c r="AL37" s="115"/>
      <c r="AM37" s="115"/>
      <c r="AN37" s="115"/>
      <c r="AO37" s="115"/>
      <c r="AP37" s="115"/>
      <c r="AQ37" s="115"/>
      <c r="AR37" s="115"/>
      <c r="AS37" s="115"/>
      <c r="AT37" s="115"/>
      <c r="AU37" s="115"/>
      <c r="AV37" s="115"/>
      <c r="AW37" s="115"/>
      <c r="AX37" s="115"/>
      <c r="AY37" s="115"/>
      <c r="AZ37" s="115"/>
      <c r="BA37" s="115"/>
      <c r="BB37" s="115"/>
      <c r="BC37" s="115"/>
      <c r="BD37" s="115"/>
      <c r="BE37" s="115"/>
      <c r="BF37" s="115"/>
    </row>
    <row r="38" spans="2:58">
      <c r="B38" s="116" t="s">
        <v>235</v>
      </c>
      <c r="C38" s="110" t="s">
        <v>110</v>
      </c>
      <c r="D38" s="114">
        <v>0</v>
      </c>
      <c r="E38" s="114">
        <v>0</v>
      </c>
      <c r="F38" s="114">
        <v>30</v>
      </c>
      <c r="G38" s="114">
        <v>0</v>
      </c>
      <c r="H38" s="114">
        <v>0</v>
      </c>
      <c r="I38" s="114">
        <v>0</v>
      </c>
      <c r="J38" s="114">
        <v>0</v>
      </c>
      <c r="K38" s="114">
        <v>0</v>
      </c>
      <c r="L38" s="114">
        <v>0</v>
      </c>
      <c r="M38" s="114">
        <v>0</v>
      </c>
      <c r="N38" s="114">
        <v>0</v>
      </c>
      <c r="O38" s="114">
        <v>0</v>
      </c>
      <c r="P38" s="114">
        <v>0</v>
      </c>
      <c r="Q38" s="114">
        <v>0</v>
      </c>
      <c r="R38" s="114">
        <v>0</v>
      </c>
      <c r="S38" s="114">
        <v>0</v>
      </c>
      <c r="T38" s="114">
        <v>0</v>
      </c>
      <c r="U38" s="114">
        <v>0</v>
      </c>
      <c r="V38" s="114">
        <v>0</v>
      </c>
      <c r="W38" s="114">
        <v>0</v>
      </c>
      <c r="X38" s="114">
        <v>0</v>
      </c>
      <c r="Y38" s="114">
        <v>0</v>
      </c>
      <c r="Z38" s="114">
        <v>0</v>
      </c>
      <c r="AA38" s="114">
        <v>0</v>
      </c>
      <c r="AB38" s="114">
        <v>0</v>
      </c>
      <c r="AC38" s="114">
        <v>0</v>
      </c>
      <c r="AD38" s="114">
        <v>0</v>
      </c>
      <c r="AE38" s="114">
        <v>0</v>
      </c>
      <c r="AF38" s="114">
        <v>0</v>
      </c>
      <c r="AG38" s="114">
        <v>0</v>
      </c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5"/>
      <c r="AY38" s="115"/>
      <c r="AZ38" s="115"/>
      <c r="BA38" s="115"/>
      <c r="BB38" s="115"/>
      <c r="BC38" s="115"/>
      <c r="BD38" s="115"/>
      <c r="BE38" s="115"/>
      <c r="BF38" s="115"/>
    </row>
    <row r="39" spans="2:58">
      <c r="B39" s="116" t="s">
        <v>236</v>
      </c>
      <c r="C39" s="110" t="s">
        <v>110</v>
      </c>
      <c r="D39" s="114">
        <v>0</v>
      </c>
      <c r="E39" s="114">
        <v>0</v>
      </c>
      <c r="F39" s="114">
        <v>0</v>
      </c>
      <c r="G39" s="114">
        <v>0</v>
      </c>
      <c r="H39" s="114">
        <v>0</v>
      </c>
      <c r="I39" s="114">
        <v>0</v>
      </c>
      <c r="J39" s="114">
        <v>0</v>
      </c>
      <c r="K39" s="114">
        <v>0</v>
      </c>
      <c r="L39" s="114">
        <v>0</v>
      </c>
      <c r="M39" s="114">
        <v>0</v>
      </c>
      <c r="N39" s="114">
        <v>0</v>
      </c>
      <c r="O39" s="114">
        <v>0</v>
      </c>
      <c r="P39" s="114">
        <v>0</v>
      </c>
      <c r="Q39" s="114">
        <v>0</v>
      </c>
      <c r="R39" s="114">
        <v>0</v>
      </c>
      <c r="S39" s="114">
        <v>0</v>
      </c>
      <c r="T39" s="114">
        <v>0</v>
      </c>
      <c r="U39" s="114">
        <v>0</v>
      </c>
      <c r="V39" s="114">
        <v>0</v>
      </c>
      <c r="W39" s="114">
        <v>0</v>
      </c>
      <c r="X39" s="114">
        <v>0</v>
      </c>
      <c r="Y39" s="114">
        <v>0</v>
      </c>
      <c r="Z39" s="114">
        <v>0</v>
      </c>
      <c r="AA39" s="114">
        <v>0</v>
      </c>
      <c r="AB39" s="114">
        <v>0</v>
      </c>
      <c r="AC39" s="114">
        <v>0</v>
      </c>
      <c r="AD39" s="114">
        <v>0</v>
      </c>
      <c r="AE39" s="114">
        <v>0</v>
      </c>
      <c r="AF39" s="114">
        <v>0</v>
      </c>
      <c r="AG39" s="114">
        <v>0</v>
      </c>
      <c r="AH39" s="115"/>
      <c r="AI39" s="115"/>
      <c r="AJ39" s="115"/>
      <c r="AK39" s="115"/>
      <c r="AL39" s="115"/>
      <c r="AM39" s="115"/>
      <c r="AN39" s="115"/>
      <c r="AO39" s="115"/>
      <c r="AP39" s="115"/>
      <c r="AQ39" s="115"/>
      <c r="AR39" s="115"/>
      <c r="AS39" s="115"/>
      <c r="AT39" s="115"/>
      <c r="AU39" s="115"/>
      <c r="AV39" s="115"/>
      <c r="AW39" s="115"/>
      <c r="AX39" s="115"/>
      <c r="AY39" s="115"/>
      <c r="AZ39" s="115"/>
      <c r="BA39" s="115"/>
      <c r="BB39" s="115"/>
      <c r="BC39" s="115"/>
      <c r="BD39" s="115"/>
      <c r="BE39" s="115"/>
      <c r="BF39" s="115"/>
    </row>
    <row r="40" spans="2:58">
      <c r="B40" s="113"/>
      <c r="C40" s="110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114"/>
      <c r="AA40" s="114"/>
      <c r="AB40" s="114"/>
      <c r="AC40" s="114"/>
      <c r="AD40" s="114"/>
      <c r="AE40" s="114"/>
      <c r="AF40" s="114"/>
      <c r="AG40" s="114"/>
      <c r="AH40" s="115"/>
      <c r="AI40" s="115"/>
      <c r="AJ40" s="115"/>
      <c r="AK40" s="115"/>
      <c r="AL40" s="115"/>
      <c r="AM40" s="115"/>
      <c r="AN40" s="115"/>
      <c r="AO40" s="115"/>
      <c r="AP40" s="115"/>
      <c r="AQ40" s="115"/>
      <c r="AR40" s="115"/>
      <c r="AS40" s="115"/>
      <c r="AT40" s="115"/>
      <c r="AU40" s="115"/>
      <c r="AV40" s="115"/>
      <c r="AW40" s="115"/>
      <c r="AX40" s="115"/>
      <c r="AY40" s="115"/>
      <c r="AZ40" s="115"/>
      <c r="BA40" s="115"/>
      <c r="BB40" s="115"/>
      <c r="BC40" s="115"/>
      <c r="BD40" s="115"/>
      <c r="BE40" s="115"/>
      <c r="BF40" s="115"/>
    </row>
    <row r="41" spans="2:58">
      <c r="B41" s="121" t="s">
        <v>135</v>
      </c>
      <c r="C41" s="120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114"/>
      <c r="AA41" s="114"/>
      <c r="AB41" s="114"/>
      <c r="AC41" s="114"/>
      <c r="AD41" s="114"/>
      <c r="AE41" s="114"/>
      <c r="AF41" s="114"/>
      <c r="AG41" s="114"/>
      <c r="AH41" s="115"/>
      <c r="AI41" s="115"/>
      <c r="AJ41" s="115"/>
      <c r="AK41" s="115"/>
      <c r="AL41" s="115"/>
      <c r="AM41" s="115"/>
      <c r="AN41" s="115"/>
      <c r="AO41" s="115"/>
      <c r="AP41" s="115"/>
      <c r="AQ41" s="115"/>
      <c r="AR41" s="115"/>
      <c r="AS41" s="115"/>
      <c r="AT41" s="115"/>
      <c r="AU41" s="115"/>
      <c r="AV41" s="115"/>
      <c r="AW41" s="115"/>
      <c r="AX41" s="115"/>
      <c r="AY41" s="115"/>
      <c r="AZ41" s="115"/>
      <c r="BA41" s="115"/>
      <c r="BB41" s="115"/>
      <c r="BC41" s="115"/>
      <c r="BD41" s="115"/>
      <c r="BE41" s="115"/>
      <c r="BF41" s="115"/>
    </row>
    <row r="42" spans="2:58">
      <c r="B42" s="116" t="s">
        <v>183</v>
      </c>
      <c r="C42" s="120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5"/>
      <c r="AI42" s="115"/>
      <c r="AJ42" s="115"/>
      <c r="AK42" s="115"/>
      <c r="AL42" s="115"/>
      <c r="AM42" s="115"/>
      <c r="AN42" s="115"/>
      <c r="AO42" s="115"/>
      <c r="AP42" s="115"/>
      <c r="AQ42" s="115"/>
      <c r="AR42" s="115"/>
      <c r="AS42" s="115"/>
      <c r="AT42" s="115"/>
      <c r="AU42" s="115"/>
      <c r="AV42" s="115"/>
      <c r="AW42" s="115"/>
      <c r="AX42" s="115"/>
      <c r="AY42" s="115"/>
      <c r="AZ42" s="115"/>
      <c r="BA42" s="115"/>
      <c r="BB42" s="115"/>
      <c r="BC42" s="115"/>
      <c r="BD42" s="115"/>
      <c r="BE42" s="115"/>
      <c r="BF42" s="115"/>
    </row>
    <row r="43" spans="2:58">
      <c r="B43" s="122" t="s">
        <v>182</v>
      </c>
      <c r="C43" s="120" t="s">
        <v>110</v>
      </c>
      <c r="D43" s="114">
        <v>0</v>
      </c>
      <c r="E43" s="114">
        <v>0</v>
      </c>
      <c r="F43" s="114">
        <v>0</v>
      </c>
      <c r="G43" s="114">
        <v>0</v>
      </c>
      <c r="H43" s="114">
        <v>0</v>
      </c>
      <c r="I43" s="114">
        <v>0</v>
      </c>
      <c r="J43" s="114">
        <v>0</v>
      </c>
      <c r="K43" s="114">
        <v>0</v>
      </c>
      <c r="L43" s="114">
        <v>0</v>
      </c>
      <c r="M43" s="114">
        <v>0</v>
      </c>
      <c r="N43" s="114">
        <v>0</v>
      </c>
      <c r="O43" s="114">
        <v>0</v>
      </c>
      <c r="P43" s="114">
        <v>0</v>
      </c>
      <c r="Q43" s="114">
        <v>0</v>
      </c>
      <c r="R43" s="114">
        <v>0</v>
      </c>
      <c r="S43" s="114">
        <v>0</v>
      </c>
      <c r="T43" s="114">
        <v>0</v>
      </c>
      <c r="U43" s="114">
        <v>0</v>
      </c>
      <c r="V43" s="114">
        <v>0</v>
      </c>
      <c r="W43" s="114">
        <v>0</v>
      </c>
      <c r="X43" s="114">
        <v>0</v>
      </c>
      <c r="Y43" s="114">
        <v>0</v>
      </c>
      <c r="Z43" s="114">
        <v>0</v>
      </c>
      <c r="AA43" s="114">
        <v>0</v>
      </c>
      <c r="AB43" s="114">
        <v>0</v>
      </c>
      <c r="AC43" s="114">
        <v>0</v>
      </c>
      <c r="AD43" s="114">
        <v>0</v>
      </c>
      <c r="AE43" s="114">
        <v>0</v>
      </c>
      <c r="AF43" s="114">
        <v>0</v>
      </c>
      <c r="AG43" s="114">
        <v>0</v>
      </c>
      <c r="AH43" s="115"/>
      <c r="AI43" s="115"/>
      <c r="AJ43" s="115"/>
      <c r="AK43" s="115"/>
      <c r="AL43" s="115"/>
      <c r="AM43" s="115"/>
      <c r="AN43" s="115"/>
      <c r="AO43" s="115"/>
      <c r="AP43" s="115"/>
      <c r="AQ43" s="115"/>
      <c r="AR43" s="115"/>
      <c r="AS43" s="115"/>
      <c r="AT43" s="115"/>
      <c r="AU43" s="115"/>
      <c r="AV43" s="115"/>
      <c r="AW43" s="115"/>
      <c r="AX43" s="115"/>
      <c r="AY43" s="115"/>
      <c r="AZ43" s="115"/>
      <c r="BA43" s="115"/>
      <c r="BB43" s="115"/>
      <c r="BC43" s="115"/>
      <c r="BD43" s="115"/>
      <c r="BE43" s="115"/>
      <c r="BF43" s="115"/>
    </row>
    <row r="44" spans="2:58">
      <c r="B44" s="122" t="s">
        <v>111</v>
      </c>
      <c r="C44" s="120" t="s">
        <v>110</v>
      </c>
      <c r="D44" s="114">
        <v>0</v>
      </c>
      <c r="E44" s="114">
        <v>0</v>
      </c>
      <c r="F44" s="114">
        <v>0</v>
      </c>
      <c r="G44" s="114">
        <v>0</v>
      </c>
      <c r="H44" s="114">
        <v>0</v>
      </c>
      <c r="I44" s="114">
        <v>0</v>
      </c>
      <c r="J44" s="114">
        <v>0</v>
      </c>
      <c r="K44" s="114">
        <v>0</v>
      </c>
      <c r="L44" s="114">
        <v>0</v>
      </c>
      <c r="M44" s="114">
        <v>0</v>
      </c>
      <c r="N44" s="114">
        <v>0</v>
      </c>
      <c r="O44" s="114">
        <v>0</v>
      </c>
      <c r="P44" s="114">
        <v>0</v>
      </c>
      <c r="Q44" s="114">
        <v>0</v>
      </c>
      <c r="R44" s="114">
        <v>0</v>
      </c>
      <c r="S44" s="114">
        <v>0</v>
      </c>
      <c r="T44" s="114">
        <v>0</v>
      </c>
      <c r="U44" s="114">
        <v>0</v>
      </c>
      <c r="V44" s="114">
        <v>0</v>
      </c>
      <c r="W44" s="114">
        <v>0</v>
      </c>
      <c r="X44" s="114">
        <v>0</v>
      </c>
      <c r="Y44" s="114">
        <v>0</v>
      </c>
      <c r="Z44" s="114">
        <v>0</v>
      </c>
      <c r="AA44" s="114">
        <v>0</v>
      </c>
      <c r="AB44" s="114">
        <v>0</v>
      </c>
      <c r="AC44" s="114">
        <v>0</v>
      </c>
      <c r="AD44" s="114">
        <v>0</v>
      </c>
      <c r="AE44" s="114">
        <v>0</v>
      </c>
      <c r="AF44" s="114">
        <v>0</v>
      </c>
      <c r="AG44" s="114">
        <v>0</v>
      </c>
      <c r="AH44" s="115"/>
      <c r="AI44" s="115"/>
      <c r="AJ44" s="115"/>
      <c r="AK44" s="115"/>
      <c r="AL44" s="115"/>
      <c r="AM44" s="115"/>
      <c r="AN44" s="115"/>
      <c r="AO44" s="115"/>
      <c r="AP44" s="115"/>
      <c r="AQ44" s="115"/>
      <c r="AR44" s="115"/>
      <c r="AS44" s="115"/>
      <c r="AT44" s="115"/>
      <c r="AU44" s="115"/>
      <c r="AV44" s="115"/>
      <c r="AW44" s="115"/>
      <c r="AX44" s="115"/>
      <c r="AY44" s="115"/>
      <c r="AZ44" s="115"/>
      <c r="BA44" s="115"/>
      <c r="BB44" s="115"/>
      <c r="BC44" s="115"/>
      <c r="BD44" s="115"/>
      <c r="BE44" s="115"/>
      <c r="BF44" s="115"/>
    </row>
    <row r="45" spans="2:58">
      <c r="B45" s="122" t="s">
        <v>112</v>
      </c>
      <c r="C45" s="110" t="s">
        <v>110</v>
      </c>
      <c r="D45" s="114">
        <v>0</v>
      </c>
      <c r="E45" s="114">
        <v>0</v>
      </c>
      <c r="F45" s="114">
        <v>0</v>
      </c>
      <c r="G45" s="114">
        <v>0</v>
      </c>
      <c r="H45" s="114">
        <v>0</v>
      </c>
      <c r="I45" s="114">
        <v>0</v>
      </c>
      <c r="J45" s="114">
        <v>0</v>
      </c>
      <c r="K45" s="114">
        <v>0</v>
      </c>
      <c r="L45" s="114">
        <v>0</v>
      </c>
      <c r="M45" s="114">
        <v>0</v>
      </c>
      <c r="N45" s="114">
        <v>0</v>
      </c>
      <c r="O45" s="114">
        <v>0</v>
      </c>
      <c r="P45" s="114">
        <v>0</v>
      </c>
      <c r="Q45" s="114">
        <v>0</v>
      </c>
      <c r="R45" s="114">
        <v>0</v>
      </c>
      <c r="S45" s="114">
        <v>0</v>
      </c>
      <c r="T45" s="114">
        <v>0</v>
      </c>
      <c r="U45" s="114">
        <v>0</v>
      </c>
      <c r="V45" s="114">
        <v>0</v>
      </c>
      <c r="W45" s="114">
        <v>0</v>
      </c>
      <c r="X45" s="114">
        <v>0</v>
      </c>
      <c r="Y45" s="114">
        <v>0</v>
      </c>
      <c r="Z45" s="114">
        <v>0</v>
      </c>
      <c r="AA45" s="114">
        <v>0</v>
      </c>
      <c r="AB45" s="114">
        <v>0</v>
      </c>
      <c r="AC45" s="114">
        <v>0</v>
      </c>
      <c r="AD45" s="114">
        <v>0</v>
      </c>
      <c r="AE45" s="114">
        <v>0</v>
      </c>
      <c r="AF45" s="114">
        <v>0</v>
      </c>
      <c r="AG45" s="114">
        <v>0</v>
      </c>
      <c r="AH45" s="115"/>
      <c r="AI45" s="115"/>
      <c r="AJ45" s="115"/>
      <c r="AK45" s="115"/>
      <c r="AL45" s="115"/>
      <c r="AM45" s="115"/>
      <c r="AN45" s="115"/>
      <c r="AO45" s="115"/>
      <c r="AP45" s="115"/>
      <c r="AQ45" s="115"/>
      <c r="AR45" s="115"/>
      <c r="AS45" s="115"/>
      <c r="AT45" s="115"/>
      <c r="AU45" s="115"/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</row>
    <row r="46" spans="2:58">
      <c r="B46" s="122" t="s">
        <v>180</v>
      </c>
      <c r="C46" s="110" t="s">
        <v>110</v>
      </c>
      <c r="D46" s="114">
        <v>0</v>
      </c>
      <c r="E46" s="114">
        <v>0</v>
      </c>
      <c r="F46" s="114">
        <v>0</v>
      </c>
      <c r="G46" s="114">
        <v>0</v>
      </c>
      <c r="H46" s="114">
        <v>0</v>
      </c>
      <c r="I46" s="114">
        <v>0</v>
      </c>
      <c r="J46" s="114">
        <v>0</v>
      </c>
      <c r="K46" s="114">
        <v>0</v>
      </c>
      <c r="L46" s="114">
        <v>0</v>
      </c>
      <c r="M46" s="114">
        <v>0</v>
      </c>
      <c r="N46" s="114">
        <v>0</v>
      </c>
      <c r="O46" s="114">
        <v>0</v>
      </c>
      <c r="P46" s="114">
        <v>0</v>
      </c>
      <c r="Q46" s="114">
        <v>0</v>
      </c>
      <c r="R46" s="114">
        <v>0</v>
      </c>
      <c r="S46" s="114">
        <v>0</v>
      </c>
      <c r="T46" s="114">
        <v>0</v>
      </c>
      <c r="U46" s="114">
        <v>0</v>
      </c>
      <c r="V46" s="114">
        <v>0</v>
      </c>
      <c r="W46" s="114">
        <v>0</v>
      </c>
      <c r="X46" s="114">
        <v>0</v>
      </c>
      <c r="Y46" s="114">
        <v>0</v>
      </c>
      <c r="Z46" s="114">
        <v>0</v>
      </c>
      <c r="AA46" s="114">
        <v>0</v>
      </c>
      <c r="AB46" s="114">
        <v>0</v>
      </c>
      <c r="AC46" s="114">
        <v>0</v>
      </c>
      <c r="AD46" s="114">
        <v>0</v>
      </c>
      <c r="AE46" s="114">
        <v>0</v>
      </c>
      <c r="AF46" s="114">
        <v>0</v>
      </c>
      <c r="AG46" s="114">
        <v>0</v>
      </c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</row>
    <row r="47" spans="2:58">
      <c r="B47" s="123" t="s">
        <v>237</v>
      </c>
      <c r="C47" s="120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4"/>
      <c r="AF47" s="114"/>
      <c r="AG47" s="114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</row>
    <row r="48" spans="2:58">
      <c r="B48" s="122" t="s">
        <v>182</v>
      </c>
      <c r="C48" s="120" t="s">
        <v>110</v>
      </c>
      <c r="D48" s="114">
        <v>0</v>
      </c>
      <c r="E48" s="114">
        <v>0</v>
      </c>
      <c r="F48" s="114">
        <v>0</v>
      </c>
      <c r="G48" s="114">
        <v>0</v>
      </c>
      <c r="H48" s="114">
        <v>0</v>
      </c>
      <c r="I48" s="114">
        <v>0</v>
      </c>
      <c r="J48" s="114">
        <v>0</v>
      </c>
      <c r="K48" s="114">
        <v>0</v>
      </c>
      <c r="L48" s="114">
        <v>0</v>
      </c>
      <c r="M48" s="114">
        <v>0</v>
      </c>
      <c r="N48" s="114">
        <v>0</v>
      </c>
      <c r="O48" s="114">
        <v>0</v>
      </c>
      <c r="P48" s="114">
        <v>0</v>
      </c>
      <c r="Q48" s="114">
        <v>0</v>
      </c>
      <c r="R48" s="114">
        <v>0</v>
      </c>
      <c r="S48" s="114">
        <v>0</v>
      </c>
      <c r="T48" s="114">
        <v>0</v>
      </c>
      <c r="U48" s="114">
        <v>0</v>
      </c>
      <c r="V48" s="114">
        <v>0</v>
      </c>
      <c r="W48" s="114">
        <v>0</v>
      </c>
      <c r="X48" s="114">
        <v>0</v>
      </c>
      <c r="Y48" s="114">
        <v>0</v>
      </c>
      <c r="Z48" s="114">
        <v>0</v>
      </c>
      <c r="AA48" s="114">
        <v>0</v>
      </c>
      <c r="AB48" s="114">
        <v>0</v>
      </c>
      <c r="AC48" s="114">
        <v>0</v>
      </c>
      <c r="AD48" s="114">
        <v>0</v>
      </c>
      <c r="AE48" s="114">
        <v>0</v>
      </c>
      <c r="AF48" s="114">
        <v>0</v>
      </c>
      <c r="AG48" s="114">
        <v>0</v>
      </c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  <c r="AZ48" s="115"/>
      <c r="BA48" s="115"/>
      <c r="BB48" s="115"/>
      <c r="BC48" s="115"/>
      <c r="BD48" s="115"/>
      <c r="BE48" s="115"/>
      <c r="BF48" s="115"/>
    </row>
    <row r="49" spans="2:58">
      <c r="B49" s="122" t="s">
        <v>112</v>
      </c>
      <c r="C49" s="120" t="s">
        <v>110</v>
      </c>
      <c r="D49" s="114">
        <v>0</v>
      </c>
      <c r="E49" s="114">
        <v>0</v>
      </c>
      <c r="F49" s="114">
        <v>0</v>
      </c>
      <c r="G49" s="114">
        <v>0</v>
      </c>
      <c r="H49" s="114">
        <v>0</v>
      </c>
      <c r="I49" s="114">
        <v>0</v>
      </c>
      <c r="J49" s="114">
        <v>0</v>
      </c>
      <c r="K49" s="114">
        <v>0</v>
      </c>
      <c r="L49" s="114">
        <v>0</v>
      </c>
      <c r="M49" s="114">
        <v>0</v>
      </c>
      <c r="N49" s="114">
        <v>0</v>
      </c>
      <c r="O49" s="114">
        <v>0</v>
      </c>
      <c r="P49" s="114">
        <v>0</v>
      </c>
      <c r="Q49" s="114">
        <v>0</v>
      </c>
      <c r="R49" s="114">
        <v>0</v>
      </c>
      <c r="S49" s="114">
        <v>0</v>
      </c>
      <c r="T49" s="114">
        <v>0</v>
      </c>
      <c r="U49" s="114">
        <v>0</v>
      </c>
      <c r="V49" s="114">
        <v>0</v>
      </c>
      <c r="W49" s="114">
        <v>0</v>
      </c>
      <c r="X49" s="114">
        <v>0</v>
      </c>
      <c r="Y49" s="114">
        <v>0</v>
      </c>
      <c r="Z49" s="114">
        <v>0</v>
      </c>
      <c r="AA49" s="114">
        <v>0</v>
      </c>
      <c r="AB49" s="114">
        <v>0</v>
      </c>
      <c r="AC49" s="114">
        <v>0</v>
      </c>
      <c r="AD49" s="114">
        <v>0</v>
      </c>
      <c r="AE49" s="114">
        <v>0</v>
      </c>
      <c r="AF49" s="114">
        <v>0</v>
      </c>
      <c r="AG49" s="114">
        <v>0</v>
      </c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  <c r="AZ49" s="115"/>
      <c r="BA49" s="115"/>
      <c r="BB49" s="115"/>
      <c r="BC49" s="115"/>
      <c r="BD49" s="115"/>
      <c r="BE49" s="115"/>
      <c r="BF49" s="115"/>
    </row>
    <row r="50" spans="2:58">
      <c r="B50" s="122" t="s">
        <v>181</v>
      </c>
      <c r="C50" s="120" t="s">
        <v>110</v>
      </c>
      <c r="D50" s="114">
        <v>0</v>
      </c>
      <c r="E50" s="114">
        <v>0</v>
      </c>
      <c r="F50" s="114">
        <v>0</v>
      </c>
      <c r="G50" s="114">
        <v>0</v>
      </c>
      <c r="H50" s="114">
        <v>0</v>
      </c>
      <c r="I50" s="114">
        <v>0</v>
      </c>
      <c r="J50" s="114">
        <v>0</v>
      </c>
      <c r="K50" s="114">
        <v>0</v>
      </c>
      <c r="L50" s="114">
        <v>0</v>
      </c>
      <c r="M50" s="114">
        <v>0</v>
      </c>
      <c r="N50" s="114">
        <v>0</v>
      </c>
      <c r="O50" s="114">
        <v>0</v>
      </c>
      <c r="P50" s="114">
        <v>0</v>
      </c>
      <c r="Q50" s="114">
        <v>0</v>
      </c>
      <c r="R50" s="114">
        <v>0</v>
      </c>
      <c r="S50" s="114">
        <v>0</v>
      </c>
      <c r="T50" s="114">
        <v>0</v>
      </c>
      <c r="U50" s="114">
        <v>0</v>
      </c>
      <c r="V50" s="114">
        <v>0</v>
      </c>
      <c r="W50" s="114">
        <v>0</v>
      </c>
      <c r="X50" s="114">
        <v>0</v>
      </c>
      <c r="Y50" s="114">
        <v>0</v>
      </c>
      <c r="Z50" s="114">
        <v>0</v>
      </c>
      <c r="AA50" s="114">
        <v>0</v>
      </c>
      <c r="AB50" s="114">
        <v>0</v>
      </c>
      <c r="AC50" s="114">
        <v>0</v>
      </c>
      <c r="AD50" s="114">
        <v>0</v>
      </c>
      <c r="AE50" s="114">
        <v>0</v>
      </c>
      <c r="AF50" s="114">
        <v>0</v>
      </c>
      <c r="AG50" s="114">
        <v>0</v>
      </c>
      <c r="AH50" s="115"/>
      <c r="AI50" s="115"/>
      <c r="AJ50" s="115"/>
      <c r="AK50" s="115"/>
      <c r="AL50" s="115"/>
      <c r="AM50" s="115"/>
      <c r="AN50" s="115"/>
      <c r="AO50" s="115"/>
      <c r="AP50" s="115"/>
      <c r="AQ50" s="115"/>
      <c r="AR50" s="115"/>
      <c r="AS50" s="115"/>
      <c r="AT50" s="115"/>
      <c r="AU50" s="115"/>
      <c r="AV50" s="115"/>
      <c r="AW50" s="115"/>
      <c r="AX50" s="115"/>
      <c r="AY50" s="115"/>
      <c r="AZ50" s="115"/>
      <c r="BA50" s="115"/>
      <c r="BB50" s="115"/>
      <c r="BC50" s="115"/>
      <c r="BD50" s="115"/>
      <c r="BE50" s="115"/>
      <c r="BF50" s="115"/>
    </row>
    <row r="51" spans="2:58">
      <c r="B51" s="122" t="s">
        <v>180</v>
      </c>
      <c r="C51" s="120" t="s">
        <v>110</v>
      </c>
      <c r="D51" s="114">
        <v>0</v>
      </c>
      <c r="E51" s="114">
        <v>0</v>
      </c>
      <c r="F51" s="114">
        <v>0</v>
      </c>
      <c r="G51" s="114">
        <v>0</v>
      </c>
      <c r="H51" s="114">
        <v>0</v>
      </c>
      <c r="I51" s="114">
        <v>0</v>
      </c>
      <c r="J51" s="114">
        <v>0</v>
      </c>
      <c r="K51" s="114">
        <v>0</v>
      </c>
      <c r="L51" s="114">
        <v>0</v>
      </c>
      <c r="M51" s="114">
        <v>0</v>
      </c>
      <c r="N51" s="114">
        <v>0</v>
      </c>
      <c r="O51" s="114">
        <v>0</v>
      </c>
      <c r="P51" s="114">
        <v>0</v>
      </c>
      <c r="Q51" s="114">
        <v>0</v>
      </c>
      <c r="R51" s="114">
        <v>0</v>
      </c>
      <c r="S51" s="114">
        <v>0</v>
      </c>
      <c r="T51" s="114">
        <v>0</v>
      </c>
      <c r="U51" s="114">
        <v>0</v>
      </c>
      <c r="V51" s="114">
        <v>0</v>
      </c>
      <c r="W51" s="114">
        <v>0</v>
      </c>
      <c r="X51" s="114">
        <v>0</v>
      </c>
      <c r="Y51" s="114">
        <v>0</v>
      </c>
      <c r="Z51" s="114">
        <v>0</v>
      </c>
      <c r="AA51" s="114">
        <v>0</v>
      </c>
      <c r="AB51" s="114">
        <v>0</v>
      </c>
      <c r="AC51" s="114">
        <v>0</v>
      </c>
      <c r="AD51" s="114">
        <v>0</v>
      </c>
      <c r="AE51" s="114">
        <v>0</v>
      </c>
      <c r="AF51" s="114">
        <v>0</v>
      </c>
      <c r="AG51" s="114">
        <v>0</v>
      </c>
      <c r="AH51" s="115"/>
      <c r="AI51" s="115"/>
      <c r="AJ51" s="115"/>
      <c r="AK51" s="115"/>
      <c r="AL51" s="115"/>
      <c r="AM51" s="115"/>
      <c r="AN51" s="115"/>
      <c r="AO51" s="115"/>
      <c r="AP51" s="115"/>
      <c r="AQ51" s="115"/>
      <c r="AR51" s="115"/>
      <c r="AS51" s="115"/>
      <c r="AT51" s="115"/>
      <c r="AU51" s="115"/>
      <c r="AV51" s="115"/>
      <c r="AW51" s="115"/>
      <c r="AX51" s="115"/>
      <c r="AY51" s="115"/>
      <c r="AZ51" s="115"/>
      <c r="BA51" s="115"/>
      <c r="BB51" s="115"/>
      <c r="BC51" s="115"/>
      <c r="BD51" s="115"/>
      <c r="BE51" s="115"/>
      <c r="BF51" s="115"/>
    </row>
    <row r="52" spans="2:58">
      <c r="B52" s="122" t="s">
        <v>179</v>
      </c>
      <c r="C52" s="120" t="s">
        <v>110</v>
      </c>
      <c r="D52" s="114">
        <v>0</v>
      </c>
      <c r="E52" s="114">
        <v>0</v>
      </c>
      <c r="F52" s="114">
        <v>0</v>
      </c>
      <c r="G52" s="114">
        <v>0</v>
      </c>
      <c r="H52" s="114">
        <v>0</v>
      </c>
      <c r="I52" s="114">
        <v>0</v>
      </c>
      <c r="J52" s="114">
        <v>0</v>
      </c>
      <c r="K52" s="114">
        <v>0</v>
      </c>
      <c r="L52" s="114">
        <v>0</v>
      </c>
      <c r="M52" s="114">
        <v>0</v>
      </c>
      <c r="N52" s="114">
        <v>0</v>
      </c>
      <c r="O52" s="114">
        <v>0</v>
      </c>
      <c r="P52" s="114">
        <v>0</v>
      </c>
      <c r="Q52" s="114">
        <v>0</v>
      </c>
      <c r="R52" s="114">
        <v>0</v>
      </c>
      <c r="S52" s="114">
        <v>0</v>
      </c>
      <c r="T52" s="114">
        <v>0</v>
      </c>
      <c r="U52" s="114">
        <v>0</v>
      </c>
      <c r="V52" s="114">
        <v>0</v>
      </c>
      <c r="W52" s="114">
        <v>0</v>
      </c>
      <c r="X52" s="114">
        <v>0</v>
      </c>
      <c r="Y52" s="114">
        <v>0</v>
      </c>
      <c r="Z52" s="114">
        <v>0</v>
      </c>
      <c r="AA52" s="114">
        <v>0</v>
      </c>
      <c r="AB52" s="114">
        <v>0</v>
      </c>
      <c r="AC52" s="114">
        <v>0</v>
      </c>
      <c r="AD52" s="114">
        <v>0</v>
      </c>
      <c r="AE52" s="114">
        <v>0</v>
      </c>
      <c r="AF52" s="114">
        <v>0</v>
      </c>
      <c r="AG52" s="114">
        <v>0</v>
      </c>
      <c r="AH52" s="115"/>
      <c r="AI52" s="115"/>
      <c r="AJ52" s="115"/>
      <c r="AK52" s="115"/>
      <c r="AL52" s="115"/>
      <c r="AM52" s="115"/>
      <c r="AN52" s="115"/>
      <c r="AO52" s="115"/>
      <c r="AP52" s="115"/>
      <c r="AQ52" s="115"/>
      <c r="AR52" s="115"/>
      <c r="AS52" s="115"/>
      <c r="AT52" s="115"/>
      <c r="AU52" s="115"/>
      <c r="AV52" s="115"/>
      <c r="AW52" s="115"/>
      <c r="AX52" s="115"/>
      <c r="AY52" s="115"/>
      <c r="AZ52" s="115"/>
      <c r="BA52" s="115"/>
      <c r="BB52" s="115"/>
      <c r="BC52" s="115"/>
      <c r="BD52" s="115"/>
      <c r="BE52" s="115"/>
      <c r="BF52" s="115"/>
    </row>
    <row r="53" spans="2:58">
      <c r="B53" s="122" t="s">
        <v>178</v>
      </c>
      <c r="C53" s="120"/>
      <c r="D53" s="114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  <c r="AD53" s="114"/>
      <c r="AE53" s="114"/>
      <c r="AF53" s="114"/>
      <c r="AG53" s="114"/>
      <c r="AH53" s="115"/>
      <c r="AI53" s="115"/>
      <c r="AJ53" s="115"/>
      <c r="AK53" s="115"/>
      <c r="AL53" s="115"/>
      <c r="AM53" s="115"/>
      <c r="AN53" s="115"/>
      <c r="AO53" s="115"/>
      <c r="AP53" s="115"/>
      <c r="AQ53" s="115"/>
      <c r="AR53" s="115"/>
      <c r="AS53" s="115"/>
      <c r="AT53" s="115"/>
      <c r="AU53" s="115"/>
      <c r="AV53" s="115"/>
      <c r="AW53" s="115"/>
      <c r="AX53" s="115"/>
      <c r="AY53" s="115"/>
      <c r="AZ53" s="115"/>
      <c r="BA53" s="115"/>
      <c r="BB53" s="115"/>
      <c r="BC53" s="115"/>
      <c r="BD53" s="115"/>
      <c r="BE53" s="115"/>
      <c r="BF53" s="115"/>
    </row>
    <row r="54" spans="2:58">
      <c r="B54" s="122" t="s">
        <v>174</v>
      </c>
      <c r="C54" s="120" t="s">
        <v>110</v>
      </c>
      <c r="D54" s="114">
        <v>0</v>
      </c>
      <c r="E54" s="114">
        <v>0</v>
      </c>
      <c r="F54" s="114">
        <v>0</v>
      </c>
      <c r="G54" s="114">
        <v>0</v>
      </c>
      <c r="H54" s="114">
        <v>0</v>
      </c>
      <c r="I54" s="114">
        <v>0</v>
      </c>
      <c r="J54" s="114">
        <v>0</v>
      </c>
      <c r="K54" s="114">
        <v>0</v>
      </c>
      <c r="L54" s="114">
        <v>0</v>
      </c>
      <c r="M54" s="114">
        <v>0</v>
      </c>
      <c r="N54" s="114">
        <v>0</v>
      </c>
      <c r="O54" s="114">
        <v>0</v>
      </c>
      <c r="P54" s="114">
        <v>0</v>
      </c>
      <c r="Q54" s="114">
        <v>0</v>
      </c>
      <c r="R54" s="114">
        <v>0</v>
      </c>
      <c r="S54" s="114">
        <v>0</v>
      </c>
      <c r="T54" s="114">
        <v>0</v>
      </c>
      <c r="U54" s="114">
        <v>0</v>
      </c>
      <c r="V54" s="114">
        <v>0</v>
      </c>
      <c r="W54" s="114">
        <v>0</v>
      </c>
      <c r="X54" s="114">
        <v>0</v>
      </c>
      <c r="Y54" s="114">
        <v>0</v>
      </c>
      <c r="Z54" s="114">
        <v>0</v>
      </c>
      <c r="AA54" s="114">
        <v>0</v>
      </c>
      <c r="AB54" s="114">
        <v>0</v>
      </c>
      <c r="AC54" s="114">
        <v>0</v>
      </c>
      <c r="AD54" s="114">
        <v>0</v>
      </c>
      <c r="AE54" s="114">
        <v>0</v>
      </c>
      <c r="AF54" s="114">
        <v>0</v>
      </c>
      <c r="AG54" s="114">
        <v>0</v>
      </c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5"/>
      <c r="AV54" s="115"/>
      <c r="AW54" s="115"/>
      <c r="AX54" s="115"/>
      <c r="AY54" s="115"/>
      <c r="AZ54" s="115"/>
      <c r="BA54" s="115"/>
      <c r="BB54" s="115"/>
      <c r="BC54" s="115"/>
      <c r="BD54" s="115"/>
      <c r="BE54" s="115"/>
      <c r="BF54" s="115"/>
    </row>
    <row r="55" spans="2:58">
      <c r="B55" s="122" t="s">
        <v>177</v>
      </c>
      <c r="C55" s="120" t="s">
        <v>110</v>
      </c>
      <c r="D55" s="114">
        <v>0</v>
      </c>
      <c r="E55" s="114">
        <v>0</v>
      </c>
      <c r="F55" s="114">
        <v>0</v>
      </c>
      <c r="G55" s="114">
        <v>0</v>
      </c>
      <c r="H55" s="114">
        <v>0</v>
      </c>
      <c r="I55" s="114">
        <v>0</v>
      </c>
      <c r="J55" s="114">
        <v>0</v>
      </c>
      <c r="K55" s="114">
        <v>0</v>
      </c>
      <c r="L55" s="114">
        <v>0</v>
      </c>
      <c r="M55" s="114">
        <v>0</v>
      </c>
      <c r="N55" s="114">
        <v>0</v>
      </c>
      <c r="O55" s="114">
        <v>0</v>
      </c>
      <c r="P55" s="114">
        <v>0</v>
      </c>
      <c r="Q55" s="114">
        <v>0</v>
      </c>
      <c r="R55" s="114">
        <v>0</v>
      </c>
      <c r="S55" s="114">
        <v>0</v>
      </c>
      <c r="T55" s="114">
        <v>0</v>
      </c>
      <c r="U55" s="114">
        <v>0</v>
      </c>
      <c r="V55" s="114">
        <v>0</v>
      </c>
      <c r="W55" s="114">
        <v>0</v>
      </c>
      <c r="X55" s="114">
        <v>0</v>
      </c>
      <c r="Y55" s="114">
        <v>0</v>
      </c>
      <c r="Z55" s="114">
        <v>0</v>
      </c>
      <c r="AA55" s="114">
        <v>0</v>
      </c>
      <c r="AB55" s="114">
        <v>0</v>
      </c>
      <c r="AC55" s="114">
        <v>0</v>
      </c>
      <c r="AD55" s="114">
        <v>0</v>
      </c>
      <c r="AE55" s="114">
        <v>0</v>
      </c>
      <c r="AF55" s="114">
        <v>0</v>
      </c>
      <c r="AG55" s="114">
        <v>0</v>
      </c>
      <c r="AH55" s="115"/>
      <c r="AI55" s="115"/>
      <c r="AJ55" s="115"/>
      <c r="AK55" s="115"/>
      <c r="AL55" s="115"/>
      <c r="AM55" s="115"/>
      <c r="AN55" s="115"/>
      <c r="AO55" s="115"/>
      <c r="AP55" s="115"/>
      <c r="AQ55" s="115"/>
      <c r="AR55" s="115"/>
      <c r="AS55" s="115"/>
      <c r="AT55" s="115"/>
      <c r="AU55" s="115"/>
      <c r="AV55" s="115"/>
      <c r="AW55" s="115"/>
      <c r="AX55" s="115"/>
      <c r="AY55" s="115"/>
      <c r="AZ55" s="115"/>
      <c r="BA55" s="115"/>
      <c r="BB55" s="115"/>
      <c r="BC55" s="115"/>
      <c r="BD55" s="115"/>
      <c r="BE55" s="115"/>
      <c r="BF55" s="115"/>
    </row>
    <row r="56" spans="2:58">
      <c r="B56" s="122" t="s">
        <v>176</v>
      </c>
      <c r="C56" s="120" t="s">
        <v>110</v>
      </c>
      <c r="D56" s="114">
        <v>0</v>
      </c>
      <c r="E56" s="114">
        <v>0</v>
      </c>
      <c r="F56" s="114">
        <v>0</v>
      </c>
      <c r="G56" s="114">
        <v>0</v>
      </c>
      <c r="H56" s="114">
        <v>0</v>
      </c>
      <c r="I56" s="114">
        <v>0</v>
      </c>
      <c r="J56" s="114">
        <v>0</v>
      </c>
      <c r="K56" s="114">
        <v>0</v>
      </c>
      <c r="L56" s="114">
        <v>0</v>
      </c>
      <c r="M56" s="114">
        <v>0</v>
      </c>
      <c r="N56" s="114">
        <v>0</v>
      </c>
      <c r="O56" s="114">
        <v>0</v>
      </c>
      <c r="P56" s="114">
        <v>0</v>
      </c>
      <c r="Q56" s="114">
        <v>0</v>
      </c>
      <c r="R56" s="114">
        <v>0</v>
      </c>
      <c r="S56" s="114">
        <v>0</v>
      </c>
      <c r="T56" s="114">
        <v>0</v>
      </c>
      <c r="U56" s="114">
        <v>0</v>
      </c>
      <c r="V56" s="114">
        <v>0</v>
      </c>
      <c r="W56" s="114">
        <v>0</v>
      </c>
      <c r="X56" s="114">
        <v>0</v>
      </c>
      <c r="Y56" s="114">
        <v>0</v>
      </c>
      <c r="Z56" s="114">
        <v>0</v>
      </c>
      <c r="AA56" s="114">
        <v>0</v>
      </c>
      <c r="AB56" s="114">
        <v>0</v>
      </c>
      <c r="AC56" s="114">
        <v>0</v>
      </c>
      <c r="AD56" s="114">
        <v>0</v>
      </c>
      <c r="AE56" s="114">
        <v>0</v>
      </c>
      <c r="AF56" s="114">
        <v>0</v>
      </c>
      <c r="AG56" s="114">
        <v>0</v>
      </c>
      <c r="AH56" s="115"/>
      <c r="AI56" s="115"/>
      <c r="AJ56" s="115"/>
      <c r="AK56" s="115"/>
      <c r="AL56" s="115"/>
      <c r="AM56" s="115"/>
      <c r="AN56" s="115"/>
      <c r="AO56" s="115"/>
      <c r="AP56" s="115"/>
      <c r="AQ56" s="115"/>
      <c r="AR56" s="115"/>
      <c r="AS56" s="115"/>
      <c r="AT56" s="115"/>
      <c r="AU56" s="115"/>
      <c r="AV56" s="115"/>
      <c r="AW56" s="115"/>
      <c r="AX56" s="115"/>
      <c r="AY56" s="115"/>
      <c r="AZ56" s="115"/>
      <c r="BA56" s="115"/>
      <c r="BB56" s="115"/>
      <c r="BC56" s="115"/>
      <c r="BD56" s="115"/>
      <c r="BE56" s="115"/>
      <c r="BF56" s="115"/>
    </row>
    <row r="57" spans="2:58">
      <c r="B57" s="122" t="s">
        <v>175</v>
      </c>
      <c r="C57" s="120" t="s">
        <v>110</v>
      </c>
      <c r="D57" s="114">
        <v>0</v>
      </c>
      <c r="E57" s="114">
        <v>0</v>
      </c>
      <c r="F57" s="114">
        <v>0</v>
      </c>
      <c r="G57" s="114">
        <v>0</v>
      </c>
      <c r="H57" s="114">
        <v>0</v>
      </c>
      <c r="I57" s="114">
        <v>0</v>
      </c>
      <c r="J57" s="114">
        <v>0</v>
      </c>
      <c r="K57" s="114">
        <v>0</v>
      </c>
      <c r="L57" s="114">
        <v>0</v>
      </c>
      <c r="M57" s="114">
        <v>0</v>
      </c>
      <c r="N57" s="114">
        <v>0</v>
      </c>
      <c r="O57" s="114">
        <v>0</v>
      </c>
      <c r="P57" s="114">
        <v>0</v>
      </c>
      <c r="Q57" s="114">
        <v>0</v>
      </c>
      <c r="R57" s="114">
        <v>0</v>
      </c>
      <c r="S57" s="114">
        <v>0</v>
      </c>
      <c r="T57" s="114">
        <v>0</v>
      </c>
      <c r="U57" s="114">
        <v>0</v>
      </c>
      <c r="V57" s="114">
        <v>0</v>
      </c>
      <c r="W57" s="114">
        <v>0</v>
      </c>
      <c r="X57" s="114">
        <v>0</v>
      </c>
      <c r="Y57" s="114">
        <v>0</v>
      </c>
      <c r="Z57" s="114">
        <v>0</v>
      </c>
      <c r="AA57" s="114">
        <v>0</v>
      </c>
      <c r="AB57" s="114">
        <v>0</v>
      </c>
      <c r="AC57" s="114">
        <v>0</v>
      </c>
      <c r="AD57" s="114">
        <v>0</v>
      </c>
      <c r="AE57" s="114">
        <v>0</v>
      </c>
      <c r="AF57" s="114">
        <v>0</v>
      </c>
      <c r="AG57" s="114">
        <v>0</v>
      </c>
      <c r="AH57" s="115"/>
      <c r="AI57" s="115"/>
      <c r="AJ57" s="115"/>
      <c r="AK57" s="115"/>
      <c r="AL57" s="115"/>
      <c r="AM57" s="115"/>
      <c r="AN57" s="115"/>
      <c r="AO57" s="115"/>
      <c r="AP57" s="115"/>
      <c r="AQ57" s="115"/>
      <c r="AR57" s="115"/>
      <c r="AS57" s="115"/>
      <c r="AT57" s="115"/>
      <c r="AU57" s="115"/>
      <c r="AV57" s="115"/>
      <c r="AW57" s="115"/>
      <c r="AX57" s="115"/>
      <c r="AY57" s="115"/>
      <c r="AZ57" s="115"/>
      <c r="BA57" s="115"/>
      <c r="BB57" s="115"/>
      <c r="BC57" s="115"/>
      <c r="BD57" s="115"/>
      <c r="BE57" s="115"/>
      <c r="BF57" s="115"/>
    </row>
    <row r="58" spans="2:58">
      <c r="B58" s="123" t="s">
        <v>238</v>
      </c>
      <c r="C58" s="110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  <c r="AC58" s="114"/>
      <c r="AD58" s="114"/>
      <c r="AE58" s="114"/>
      <c r="AF58" s="114"/>
      <c r="AG58" s="114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  <c r="AZ58" s="115"/>
      <c r="BA58" s="115"/>
      <c r="BB58" s="115"/>
      <c r="BC58" s="115"/>
      <c r="BD58" s="115"/>
      <c r="BE58" s="115"/>
      <c r="BF58" s="115"/>
    </row>
    <row r="59" spans="2:58">
      <c r="B59" s="122" t="s">
        <v>174</v>
      </c>
      <c r="C59" s="110" t="s">
        <v>110</v>
      </c>
      <c r="D59" s="114">
        <v>0</v>
      </c>
      <c r="E59" s="114">
        <v>0</v>
      </c>
      <c r="F59" s="114">
        <v>0</v>
      </c>
      <c r="G59" s="114">
        <v>0</v>
      </c>
      <c r="H59" s="114">
        <v>0</v>
      </c>
      <c r="I59" s="114">
        <v>1.0002</v>
      </c>
      <c r="J59" s="114">
        <v>1.5002999999999997</v>
      </c>
      <c r="K59" s="114">
        <v>1.5002999999999997</v>
      </c>
      <c r="L59" s="114">
        <v>1.5002999999999997</v>
      </c>
      <c r="M59" s="114">
        <v>1.5002999999999997</v>
      </c>
      <c r="N59" s="114">
        <v>2.5004999999999997</v>
      </c>
      <c r="O59" s="114">
        <v>4.0007999999999999</v>
      </c>
      <c r="P59" s="114">
        <v>5.0009999999999994</v>
      </c>
      <c r="Q59" s="114">
        <v>0</v>
      </c>
      <c r="R59" s="114">
        <v>0</v>
      </c>
      <c r="S59" s="114">
        <v>0</v>
      </c>
      <c r="T59" s="114">
        <v>0</v>
      </c>
      <c r="U59" s="114">
        <v>0</v>
      </c>
      <c r="V59" s="114">
        <v>0</v>
      </c>
      <c r="W59" s="124">
        <v>1.0002</v>
      </c>
      <c r="X59" s="124">
        <v>1.5002999999999997</v>
      </c>
      <c r="Y59" s="125">
        <v>1.5002999999999997</v>
      </c>
      <c r="Z59" s="125">
        <v>1.5002999999999997</v>
      </c>
      <c r="AA59" s="114">
        <v>1.5002999999999997</v>
      </c>
      <c r="AB59" s="114">
        <v>2.5004999999999997</v>
      </c>
      <c r="AC59" s="114">
        <v>4.0007999999999999</v>
      </c>
      <c r="AD59" s="114">
        <v>5.0009999999999994</v>
      </c>
      <c r="AE59" s="114">
        <v>0.83399999999999996</v>
      </c>
      <c r="AF59" s="114">
        <v>0</v>
      </c>
      <c r="AG59" s="114">
        <v>0</v>
      </c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  <c r="AZ59" s="115"/>
      <c r="BA59" s="115"/>
      <c r="BB59" s="115"/>
      <c r="BC59" s="115"/>
      <c r="BD59" s="115"/>
      <c r="BE59" s="115"/>
      <c r="BF59" s="115"/>
    </row>
    <row r="60" spans="2:58">
      <c r="B60" s="122" t="s">
        <v>173</v>
      </c>
      <c r="C60" s="110" t="s">
        <v>110</v>
      </c>
      <c r="D60" s="114">
        <v>0</v>
      </c>
      <c r="E60" s="114">
        <v>0</v>
      </c>
      <c r="F60" s="114">
        <v>0</v>
      </c>
      <c r="G60" s="114">
        <v>0</v>
      </c>
      <c r="H60" s="114">
        <v>0</v>
      </c>
      <c r="I60" s="114">
        <v>0</v>
      </c>
      <c r="J60" s="114">
        <v>0</v>
      </c>
      <c r="K60" s="114">
        <v>0</v>
      </c>
      <c r="L60" s="114">
        <v>4.5837000000000003</v>
      </c>
      <c r="M60" s="114">
        <v>0</v>
      </c>
      <c r="N60" s="114">
        <v>7.2922499999999983</v>
      </c>
      <c r="O60" s="114">
        <v>0</v>
      </c>
      <c r="P60" s="114">
        <v>0</v>
      </c>
      <c r="Q60" s="114">
        <v>0</v>
      </c>
      <c r="R60" s="114">
        <v>0</v>
      </c>
      <c r="S60" s="114">
        <v>0</v>
      </c>
      <c r="T60" s="114">
        <v>0</v>
      </c>
      <c r="U60" s="114">
        <v>0</v>
      </c>
      <c r="V60" s="114">
        <v>0</v>
      </c>
      <c r="W60" s="126">
        <v>0</v>
      </c>
      <c r="X60" s="126">
        <v>0</v>
      </c>
      <c r="Y60" s="114">
        <v>0</v>
      </c>
      <c r="Z60" s="114">
        <v>4.5837000000000003</v>
      </c>
      <c r="AA60" s="114">
        <v>0</v>
      </c>
      <c r="AB60" s="114">
        <v>7.2922499999999983</v>
      </c>
      <c r="AC60" s="114">
        <v>0</v>
      </c>
      <c r="AD60" s="114">
        <v>0</v>
      </c>
      <c r="AE60" s="114">
        <v>12.51</v>
      </c>
      <c r="AF60" s="114">
        <v>0</v>
      </c>
      <c r="AG60" s="114">
        <v>0</v>
      </c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  <c r="AZ60" s="115"/>
      <c r="BA60" s="115"/>
      <c r="BB60" s="115"/>
      <c r="BC60" s="115"/>
      <c r="BD60" s="115"/>
      <c r="BE60" s="115"/>
      <c r="BF60" s="115"/>
    </row>
    <row r="61" spans="2:58">
      <c r="B61" s="117"/>
      <c r="C61" s="110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114"/>
      <c r="AA61" s="114"/>
      <c r="AB61" s="114"/>
      <c r="AC61" s="114"/>
      <c r="AD61" s="114"/>
      <c r="AE61" s="114"/>
      <c r="AF61" s="114"/>
      <c r="AG61" s="114"/>
      <c r="AH61" s="115"/>
      <c r="AI61" s="115"/>
      <c r="AJ61" s="115"/>
      <c r="AK61" s="115"/>
      <c r="AL61" s="115"/>
      <c r="AM61" s="115"/>
      <c r="AN61" s="115"/>
      <c r="AO61" s="115"/>
      <c r="AP61" s="115"/>
      <c r="AQ61" s="115"/>
      <c r="AR61" s="115"/>
      <c r="AS61" s="115"/>
      <c r="AT61" s="115"/>
      <c r="AU61" s="115"/>
      <c r="AV61" s="115"/>
      <c r="AW61" s="115"/>
      <c r="AX61" s="115"/>
      <c r="AY61" s="115"/>
      <c r="AZ61" s="115"/>
      <c r="BA61" s="115"/>
      <c r="BB61" s="115"/>
      <c r="BC61" s="115"/>
      <c r="BD61" s="115"/>
      <c r="BE61" s="115"/>
      <c r="BF61" s="115"/>
    </row>
    <row r="62" spans="2:58">
      <c r="B62" s="121" t="s">
        <v>78</v>
      </c>
      <c r="C62" s="110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114"/>
      <c r="AA62" s="114"/>
      <c r="AB62" s="114"/>
      <c r="AC62" s="114"/>
      <c r="AD62" s="114"/>
      <c r="AE62" s="114"/>
      <c r="AF62" s="114"/>
      <c r="AG62" s="114"/>
      <c r="AH62" s="115"/>
      <c r="AI62" s="115"/>
      <c r="AJ62" s="115"/>
      <c r="AK62" s="115"/>
      <c r="AL62" s="115"/>
      <c r="AM62" s="115"/>
      <c r="AN62" s="115"/>
      <c r="AO62" s="115"/>
      <c r="AP62" s="115"/>
      <c r="AQ62" s="115"/>
      <c r="AR62" s="115"/>
      <c r="AS62" s="115"/>
      <c r="AT62" s="115"/>
      <c r="AU62" s="115"/>
      <c r="AV62" s="115"/>
      <c r="AW62" s="115"/>
      <c r="AX62" s="115"/>
      <c r="AY62" s="115"/>
      <c r="AZ62" s="115"/>
      <c r="BA62" s="115"/>
      <c r="BB62" s="115"/>
      <c r="BC62" s="115"/>
      <c r="BD62" s="115"/>
      <c r="BE62" s="115"/>
      <c r="BF62" s="115"/>
    </row>
    <row r="63" spans="2:58">
      <c r="B63" s="123" t="s">
        <v>166</v>
      </c>
      <c r="C63" s="110" t="s">
        <v>110</v>
      </c>
      <c r="D63" s="114">
        <v>0</v>
      </c>
      <c r="E63" s="114">
        <v>0</v>
      </c>
      <c r="F63" s="114">
        <v>0</v>
      </c>
      <c r="G63" s="114">
        <v>0</v>
      </c>
      <c r="H63" s="114">
        <v>0</v>
      </c>
      <c r="I63" s="114">
        <v>0</v>
      </c>
      <c r="J63" s="114">
        <v>0</v>
      </c>
      <c r="K63" s="114">
        <v>0</v>
      </c>
      <c r="L63" s="114">
        <v>0</v>
      </c>
      <c r="M63" s="114">
        <v>0</v>
      </c>
      <c r="N63" s="114">
        <v>0</v>
      </c>
      <c r="O63" s="114">
        <v>0</v>
      </c>
      <c r="P63" s="114">
        <v>0</v>
      </c>
      <c r="Q63" s="114">
        <v>0</v>
      </c>
      <c r="R63" s="114">
        <v>0</v>
      </c>
      <c r="S63" s="114">
        <v>0</v>
      </c>
      <c r="T63" s="114">
        <v>0</v>
      </c>
      <c r="U63" s="114">
        <v>0</v>
      </c>
      <c r="V63" s="114">
        <v>0</v>
      </c>
      <c r="W63" s="114">
        <v>0</v>
      </c>
      <c r="X63" s="114">
        <v>0</v>
      </c>
      <c r="Y63" s="114">
        <v>0</v>
      </c>
      <c r="Z63" s="114">
        <v>0</v>
      </c>
      <c r="AA63" s="114">
        <v>0</v>
      </c>
      <c r="AB63" s="114">
        <v>0</v>
      </c>
      <c r="AC63" s="114">
        <v>0</v>
      </c>
      <c r="AD63" s="114">
        <v>0</v>
      </c>
      <c r="AE63" s="114">
        <v>0</v>
      </c>
      <c r="AF63" s="114">
        <v>0</v>
      </c>
      <c r="AG63" s="114">
        <v>0</v>
      </c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</row>
    <row r="64" spans="2:58">
      <c r="B64" s="123" t="s">
        <v>238</v>
      </c>
      <c r="C64" s="110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114"/>
      <c r="AA64" s="114"/>
      <c r="AB64" s="114"/>
      <c r="AC64" s="114"/>
      <c r="AD64" s="114"/>
      <c r="AE64" s="114"/>
      <c r="AF64" s="114"/>
      <c r="AG64" s="114"/>
      <c r="AH64" s="115"/>
      <c r="AI64" s="115"/>
      <c r="AJ64" s="115"/>
      <c r="AK64" s="115"/>
      <c r="AL64" s="115"/>
      <c r="AM64" s="115"/>
      <c r="AN64" s="115"/>
      <c r="AO64" s="115"/>
      <c r="AP64" s="115"/>
      <c r="AQ64" s="115"/>
      <c r="AR64" s="115"/>
      <c r="AS64" s="115"/>
      <c r="AT64" s="115"/>
      <c r="AU64" s="115"/>
      <c r="AV64" s="115"/>
      <c r="AW64" s="115"/>
      <c r="AX64" s="115"/>
      <c r="AY64" s="115"/>
      <c r="AZ64" s="115"/>
      <c r="BA64" s="115"/>
      <c r="BB64" s="115"/>
      <c r="BC64" s="115"/>
      <c r="BD64" s="115"/>
      <c r="BE64" s="115"/>
      <c r="BF64" s="115"/>
    </row>
    <row r="65" spans="2:58">
      <c r="B65" s="122" t="s">
        <v>136</v>
      </c>
      <c r="C65" s="110" t="s">
        <v>110</v>
      </c>
      <c r="D65" s="114">
        <v>0</v>
      </c>
      <c r="E65" s="114">
        <v>0</v>
      </c>
      <c r="F65" s="114">
        <v>0</v>
      </c>
      <c r="G65" s="114">
        <v>0</v>
      </c>
      <c r="H65" s="114">
        <v>0</v>
      </c>
      <c r="I65" s="125">
        <v>0.40008000000000005</v>
      </c>
      <c r="J65" s="114">
        <v>0.60011999999999988</v>
      </c>
      <c r="K65" s="114">
        <v>0.60011999999999988</v>
      </c>
      <c r="L65" s="114">
        <v>2.4336000000000002</v>
      </c>
      <c r="M65" s="114">
        <v>0.60011999999999988</v>
      </c>
      <c r="N65" s="114">
        <v>3.9170999999999996</v>
      </c>
      <c r="O65" s="114">
        <v>1.6003200000000002</v>
      </c>
      <c r="P65" s="114">
        <v>2.0004</v>
      </c>
      <c r="Q65" s="114">
        <v>5.3376000000000001</v>
      </c>
      <c r="R65" s="114">
        <v>0</v>
      </c>
      <c r="S65" s="114">
        <v>0</v>
      </c>
      <c r="T65" s="114">
        <v>0</v>
      </c>
      <c r="U65" s="114">
        <v>0</v>
      </c>
      <c r="V65" s="114">
        <v>0</v>
      </c>
      <c r="W65" s="125">
        <v>0.40008000000000005</v>
      </c>
      <c r="X65" s="125">
        <v>0.60011999999999988</v>
      </c>
      <c r="Y65" s="125">
        <v>0.60011999999999988</v>
      </c>
      <c r="Z65" s="125">
        <v>2.4336000000000002</v>
      </c>
      <c r="AA65" s="124">
        <v>0.60011999999999988</v>
      </c>
      <c r="AB65" s="124">
        <v>3.9170999999999996</v>
      </c>
      <c r="AC65" s="124">
        <v>1.6003200000000002</v>
      </c>
      <c r="AD65" s="124">
        <v>2.0004</v>
      </c>
      <c r="AE65" s="124">
        <v>5.3376000000000001</v>
      </c>
      <c r="AF65" s="124">
        <v>0</v>
      </c>
      <c r="AG65" s="124">
        <v>0</v>
      </c>
      <c r="AH65" s="115"/>
      <c r="AI65" s="115"/>
      <c r="AJ65" s="115"/>
      <c r="AK65" s="115"/>
      <c r="AL65" s="115"/>
      <c r="AM65" s="115"/>
      <c r="AN65" s="115"/>
      <c r="AO65" s="115"/>
      <c r="AP65" s="115"/>
      <c r="AQ65" s="115"/>
      <c r="AR65" s="115"/>
      <c r="AS65" s="115"/>
      <c r="AT65" s="115"/>
      <c r="AU65" s="115"/>
      <c r="AV65" s="115"/>
      <c r="AW65" s="115"/>
      <c r="AX65" s="115"/>
      <c r="AY65" s="115"/>
      <c r="AZ65" s="115"/>
      <c r="BA65" s="115"/>
      <c r="BB65" s="115"/>
      <c r="BC65" s="115"/>
      <c r="BD65" s="115"/>
      <c r="BE65" s="115"/>
      <c r="BF65" s="115"/>
    </row>
    <row r="66" spans="2:58">
      <c r="B66" s="122" t="s">
        <v>137</v>
      </c>
      <c r="C66" s="110" t="s">
        <v>110</v>
      </c>
      <c r="D66" s="114">
        <v>0</v>
      </c>
      <c r="E66" s="114">
        <v>0</v>
      </c>
      <c r="F66" s="114">
        <v>0</v>
      </c>
      <c r="G66" s="114">
        <v>0</v>
      </c>
      <c r="H66" s="114">
        <v>0</v>
      </c>
      <c r="I66" s="114">
        <v>1.5003</v>
      </c>
      <c r="J66" s="114">
        <v>2.6255249999999992</v>
      </c>
      <c r="K66" s="114">
        <v>3.0005999999999995</v>
      </c>
      <c r="L66" s="114">
        <v>13.384800000000002</v>
      </c>
      <c r="M66" s="114">
        <v>3.2506499999999994</v>
      </c>
      <c r="N66" s="114">
        <v>21.421640624999998</v>
      </c>
      <c r="O66" s="114">
        <v>8.8589142857142882</v>
      </c>
      <c r="P66" s="114">
        <v>10.939687500000002</v>
      </c>
      <c r="Q66" s="114">
        <v>30.024000000000001</v>
      </c>
      <c r="R66" s="114">
        <v>0</v>
      </c>
      <c r="S66" s="114">
        <v>0</v>
      </c>
      <c r="T66" s="114">
        <v>0</v>
      </c>
      <c r="U66" s="114">
        <v>0</v>
      </c>
      <c r="V66" s="114">
        <v>0</v>
      </c>
      <c r="W66" s="114">
        <v>1.5003</v>
      </c>
      <c r="X66" s="114">
        <v>2.6255249999999992</v>
      </c>
      <c r="Y66" s="114">
        <v>3.0005999999999995</v>
      </c>
      <c r="Z66" s="114">
        <v>13.384800000000002</v>
      </c>
      <c r="AA66" s="114">
        <v>3.3006599999999993</v>
      </c>
      <c r="AB66" s="114">
        <v>21.544049999999995</v>
      </c>
      <c r="AC66" s="114">
        <v>8.8017600000000016</v>
      </c>
      <c r="AD66" s="114">
        <v>11.002199999999998</v>
      </c>
      <c r="AE66" s="114">
        <v>29.356800000000003</v>
      </c>
      <c r="AF66" s="114">
        <v>0</v>
      </c>
      <c r="AG66" s="114">
        <v>0</v>
      </c>
      <c r="AH66" s="115"/>
      <c r="AI66" s="115"/>
      <c r="AJ66" s="115"/>
      <c r="AK66" s="115"/>
      <c r="AL66" s="115"/>
      <c r="AM66" s="115"/>
      <c r="AN66" s="115"/>
      <c r="AO66" s="115"/>
      <c r="AP66" s="115"/>
      <c r="AQ66" s="115"/>
      <c r="AR66" s="115"/>
      <c r="AS66" s="115"/>
      <c r="AT66" s="115"/>
      <c r="AU66" s="115"/>
      <c r="AV66" s="115"/>
      <c r="AW66" s="115"/>
      <c r="AX66" s="115"/>
      <c r="AY66" s="115"/>
      <c r="AZ66" s="115"/>
      <c r="BA66" s="115"/>
      <c r="BB66" s="115"/>
      <c r="BC66" s="115"/>
      <c r="BD66" s="115"/>
      <c r="BE66" s="115"/>
      <c r="BF66" s="115"/>
    </row>
    <row r="67" spans="2:58">
      <c r="B67" s="122" t="s">
        <v>138</v>
      </c>
      <c r="C67" s="110" t="s">
        <v>110</v>
      </c>
      <c r="D67" s="114">
        <v>0</v>
      </c>
      <c r="E67" s="114">
        <v>0</v>
      </c>
      <c r="F67" s="114">
        <v>0</v>
      </c>
      <c r="G67" s="114">
        <v>0</v>
      </c>
      <c r="H67" s="114">
        <v>0</v>
      </c>
      <c r="I67" s="125">
        <v>0.16003200000000001</v>
      </c>
      <c r="J67" s="124">
        <v>0.24004799999999998</v>
      </c>
      <c r="K67" s="124">
        <v>0.24004799999999998</v>
      </c>
      <c r="L67" s="114">
        <v>0.97344000000000008</v>
      </c>
      <c r="M67" s="124">
        <v>0.24004799999999998</v>
      </c>
      <c r="N67" s="114">
        <v>1.5668399999999998</v>
      </c>
      <c r="O67" s="114">
        <v>0.64012800000000003</v>
      </c>
      <c r="P67" s="114">
        <v>0.80015999999999998</v>
      </c>
      <c r="Q67" s="114">
        <v>2.13504</v>
      </c>
      <c r="R67" s="114">
        <v>0</v>
      </c>
      <c r="S67" s="114">
        <v>0</v>
      </c>
      <c r="T67" s="114">
        <v>0</v>
      </c>
      <c r="U67" s="114">
        <v>0</v>
      </c>
      <c r="V67" s="114">
        <v>0</v>
      </c>
      <c r="W67" s="125">
        <v>0.16003200000000001</v>
      </c>
      <c r="X67" s="125">
        <v>0.24004799999999998</v>
      </c>
      <c r="Y67" s="125">
        <v>0.24004799999999998</v>
      </c>
      <c r="Z67" s="125">
        <v>0.97344000000000008</v>
      </c>
      <c r="AA67" s="124">
        <v>0.24004799999999998</v>
      </c>
      <c r="AB67" s="124">
        <v>1.5668399999999998</v>
      </c>
      <c r="AC67" s="124">
        <v>0.64012800000000003</v>
      </c>
      <c r="AD67" s="124">
        <v>0.80015999999999998</v>
      </c>
      <c r="AE67" s="124">
        <v>2.13504</v>
      </c>
      <c r="AF67" s="124">
        <v>0</v>
      </c>
      <c r="AG67" s="124">
        <v>0</v>
      </c>
      <c r="AH67" s="115"/>
      <c r="AI67" s="115"/>
      <c r="AJ67" s="115"/>
      <c r="AK67" s="115"/>
      <c r="AL67" s="115"/>
      <c r="AM67" s="115"/>
      <c r="AN67" s="115"/>
      <c r="AO67" s="115"/>
      <c r="AP67" s="115"/>
      <c r="AQ67" s="115"/>
      <c r="AR67" s="115"/>
      <c r="AS67" s="115"/>
      <c r="AT67" s="115"/>
      <c r="AU67" s="115"/>
      <c r="AV67" s="115"/>
      <c r="AW67" s="115"/>
      <c r="AX67" s="115"/>
      <c r="AY67" s="115"/>
      <c r="AZ67" s="115"/>
      <c r="BA67" s="115"/>
      <c r="BB67" s="115"/>
      <c r="BC67" s="115"/>
      <c r="BD67" s="115"/>
      <c r="BE67" s="115"/>
      <c r="BF67" s="115"/>
    </row>
    <row r="68" spans="2:58">
      <c r="B68" s="122" t="s">
        <v>168</v>
      </c>
      <c r="C68" s="110" t="s">
        <v>110</v>
      </c>
      <c r="D68" s="114">
        <v>0</v>
      </c>
      <c r="E68" s="114">
        <v>0</v>
      </c>
      <c r="F68" s="114">
        <v>0</v>
      </c>
      <c r="G68" s="114">
        <v>0</v>
      </c>
      <c r="H68" s="114">
        <v>0</v>
      </c>
      <c r="I68" s="114">
        <v>0</v>
      </c>
      <c r="J68" s="114">
        <v>0</v>
      </c>
      <c r="K68" s="114">
        <v>0</v>
      </c>
      <c r="L68" s="114">
        <v>0</v>
      </c>
      <c r="M68" s="114">
        <v>0</v>
      </c>
      <c r="N68" s="114">
        <v>0</v>
      </c>
      <c r="O68" s="114">
        <v>0</v>
      </c>
      <c r="P68" s="114">
        <v>0</v>
      </c>
      <c r="Q68" s="114">
        <v>2.171875</v>
      </c>
      <c r="R68" s="114">
        <v>0</v>
      </c>
      <c r="S68" s="114">
        <v>0</v>
      </c>
      <c r="T68" s="114">
        <v>0</v>
      </c>
      <c r="U68" s="114">
        <v>0</v>
      </c>
      <c r="V68" s="114">
        <v>0</v>
      </c>
      <c r="W68" s="114">
        <v>0</v>
      </c>
      <c r="X68" s="114">
        <v>0</v>
      </c>
      <c r="Y68" s="114">
        <v>0</v>
      </c>
      <c r="Z68" s="114">
        <v>0</v>
      </c>
      <c r="AA68" s="114">
        <v>0</v>
      </c>
      <c r="AB68" s="114">
        <v>0</v>
      </c>
      <c r="AC68" s="114">
        <v>0</v>
      </c>
      <c r="AD68" s="114">
        <v>0</v>
      </c>
      <c r="AE68" s="114">
        <v>0</v>
      </c>
      <c r="AF68" s="114">
        <v>0</v>
      </c>
      <c r="AG68" s="114">
        <v>0</v>
      </c>
      <c r="AH68" s="115"/>
      <c r="AI68" s="115"/>
      <c r="AJ68" s="115"/>
      <c r="AK68" s="115"/>
      <c r="AL68" s="115"/>
      <c r="AM68" s="115"/>
      <c r="AN68" s="115"/>
      <c r="AO68" s="115"/>
      <c r="AP68" s="115"/>
      <c r="AQ68" s="115"/>
      <c r="AR68" s="115"/>
      <c r="AS68" s="115"/>
      <c r="AT68" s="115"/>
      <c r="AU68" s="115"/>
      <c r="AV68" s="115"/>
      <c r="AW68" s="115"/>
      <c r="AX68" s="115"/>
      <c r="AY68" s="115"/>
      <c r="AZ68" s="115"/>
      <c r="BA68" s="115"/>
      <c r="BB68" s="115"/>
      <c r="BC68" s="115"/>
      <c r="BD68" s="115"/>
      <c r="BE68" s="115"/>
      <c r="BF68" s="115"/>
    </row>
    <row r="69" spans="2:58">
      <c r="B69" s="123" t="s">
        <v>237</v>
      </c>
      <c r="C69" s="110" t="s">
        <v>110</v>
      </c>
      <c r="D69" s="114">
        <v>0</v>
      </c>
      <c r="E69" s="114">
        <v>0</v>
      </c>
      <c r="F69" s="114">
        <v>1.6666666666666666E-2</v>
      </c>
      <c r="G69" s="114">
        <v>0.16666666666666666</v>
      </c>
      <c r="H69" s="114">
        <v>0.4</v>
      </c>
      <c r="I69" s="114">
        <v>0.46666666666666667</v>
      </c>
      <c r="J69" s="114">
        <v>0.3</v>
      </c>
      <c r="K69" s="114">
        <v>0.16666666666666666</v>
      </c>
      <c r="L69" s="114">
        <v>0.1</v>
      </c>
      <c r="M69" s="114">
        <v>0</v>
      </c>
      <c r="N69" s="114">
        <v>0</v>
      </c>
      <c r="O69" s="114">
        <v>0</v>
      </c>
      <c r="P69" s="114">
        <v>0</v>
      </c>
      <c r="Q69" s="114">
        <v>0</v>
      </c>
      <c r="R69" s="114">
        <v>0</v>
      </c>
      <c r="S69" s="114">
        <v>0</v>
      </c>
      <c r="T69" s="114">
        <v>1.6666666666666666E-2</v>
      </c>
      <c r="U69" s="114">
        <v>0.16666666666666666</v>
      </c>
      <c r="V69" s="114">
        <v>0.4</v>
      </c>
      <c r="W69" s="114">
        <v>0.46666666666666667</v>
      </c>
      <c r="X69" s="114">
        <v>0.3</v>
      </c>
      <c r="Y69" s="114">
        <v>0.16666666666666666</v>
      </c>
      <c r="Z69" s="114">
        <v>0.1</v>
      </c>
      <c r="AA69" s="114">
        <v>0</v>
      </c>
      <c r="AB69" s="114">
        <v>0</v>
      </c>
      <c r="AC69" s="114">
        <v>0</v>
      </c>
      <c r="AD69" s="114">
        <v>0</v>
      </c>
      <c r="AE69" s="114">
        <v>0</v>
      </c>
      <c r="AF69" s="114">
        <v>0</v>
      </c>
      <c r="AG69" s="114">
        <v>0</v>
      </c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  <c r="AZ69" s="115"/>
      <c r="BA69" s="115"/>
      <c r="BB69" s="115"/>
      <c r="BC69" s="115"/>
      <c r="BD69" s="115"/>
      <c r="BE69" s="115"/>
      <c r="BF69" s="115"/>
    </row>
    <row r="70" spans="2:58">
      <c r="B70" s="127"/>
      <c r="C70" s="128"/>
      <c r="D70" s="114"/>
      <c r="E70" s="114"/>
      <c r="F70" s="114"/>
      <c r="G70" s="114"/>
      <c r="H70" s="114"/>
      <c r="I70" s="114"/>
      <c r="J70" s="114"/>
      <c r="K70" s="114"/>
      <c r="L70" s="114"/>
      <c r="M70" s="114"/>
      <c r="N70" s="114"/>
      <c r="O70" s="114"/>
      <c r="P70" s="114"/>
      <c r="Q70" s="114"/>
      <c r="R70" s="114"/>
      <c r="S70" s="114"/>
      <c r="T70" s="114"/>
      <c r="U70" s="114"/>
      <c r="V70" s="114"/>
      <c r="W70" s="114"/>
      <c r="X70" s="114"/>
      <c r="Y70" s="114"/>
      <c r="Z70" s="114"/>
      <c r="AA70" s="114"/>
      <c r="AB70" s="114"/>
      <c r="AC70" s="114"/>
      <c r="AD70" s="114"/>
      <c r="AE70" s="114"/>
      <c r="AF70" s="114"/>
      <c r="AG70" s="114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  <c r="AZ70" s="115"/>
      <c r="BA70" s="115"/>
      <c r="BB70" s="115"/>
      <c r="BC70" s="115"/>
      <c r="BD70" s="115"/>
      <c r="BE70" s="115"/>
      <c r="BF70" s="115"/>
    </row>
    <row r="71" spans="2:58">
      <c r="B71" s="127" t="s">
        <v>139</v>
      </c>
      <c r="C71" s="128"/>
      <c r="D71" s="114"/>
      <c r="E71" s="114"/>
      <c r="F71" s="114"/>
      <c r="G71" s="114"/>
      <c r="H71" s="114"/>
      <c r="I71" s="114"/>
      <c r="J71" s="114"/>
      <c r="K71" s="114"/>
      <c r="L71" s="114"/>
      <c r="M71" s="114"/>
      <c r="N71" s="114"/>
      <c r="O71" s="114"/>
      <c r="P71" s="114"/>
      <c r="Q71" s="114"/>
      <c r="R71" s="114"/>
      <c r="S71" s="114"/>
      <c r="T71" s="114"/>
      <c r="U71" s="114"/>
      <c r="V71" s="114"/>
      <c r="W71" s="114"/>
      <c r="X71" s="114"/>
      <c r="Y71" s="114"/>
      <c r="Z71" s="114"/>
      <c r="AA71" s="114"/>
      <c r="AB71" s="114"/>
      <c r="AC71" s="114"/>
      <c r="AD71" s="114"/>
      <c r="AE71" s="114"/>
      <c r="AF71" s="114"/>
      <c r="AG71" s="114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  <c r="AZ71" s="115"/>
      <c r="BA71" s="115"/>
      <c r="BB71" s="115"/>
      <c r="BC71" s="115"/>
      <c r="BD71" s="115"/>
      <c r="BE71" s="115"/>
      <c r="BF71" s="115"/>
    </row>
    <row r="72" spans="2:58">
      <c r="B72" s="123" t="s">
        <v>172</v>
      </c>
      <c r="C72" s="110" t="s">
        <v>110</v>
      </c>
      <c r="D72" s="114">
        <v>0</v>
      </c>
      <c r="E72" s="114">
        <v>0</v>
      </c>
      <c r="F72" s="114">
        <v>0</v>
      </c>
      <c r="G72" s="114">
        <v>0</v>
      </c>
      <c r="H72" s="114">
        <v>0</v>
      </c>
      <c r="I72" s="114">
        <v>0</v>
      </c>
      <c r="J72" s="114">
        <v>0</v>
      </c>
      <c r="K72" s="114">
        <v>0</v>
      </c>
      <c r="L72" s="114">
        <v>0</v>
      </c>
      <c r="M72" s="114">
        <v>0</v>
      </c>
      <c r="N72" s="114">
        <v>0</v>
      </c>
      <c r="O72" s="114">
        <v>0</v>
      </c>
      <c r="P72" s="114">
        <v>0</v>
      </c>
      <c r="Q72" s="114">
        <v>0</v>
      </c>
      <c r="R72" s="114">
        <v>0</v>
      </c>
      <c r="S72" s="114">
        <v>0</v>
      </c>
      <c r="T72" s="114">
        <v>0</v>
      </c>
      <c r="U72" s="114">
        <v>0</v>
      </c>
      <c r="V72" s="114">
        <v>0</v>
      </c>
      <c r="W72" s="114">
        <v>0</v>
      </c>
      <c r="X72" s="114">
        <v>0</v>
      </c>
      <c r="Y72" s="114">
        <v>0</v>
      </c>
      <c r="Z72" s="114">
        <v>0</v>
      </c>
      <c r="AA72" s="114">
        <v>0</v>
      </c>
      <c r="AB72" s="114">
        <v>0</v>
      </c>
      <c r="AC72" s="114">
        <v>0</v>
      </c>
      <c r="AD72" s="114">
        <v>0</v>
      </c>
      <c r="AE72" s="114">
        <v>0</v>
      </c>
      <c r="AF72" s="114">
        <v>0</v>
      </c>
      <c r="AG72" s="114">
        <v>0</v>
      </c>
      <c r="AH72" s="115"/>
      <c r="AI72" s="115"/>
      <c r="AJ72" s="115"/>
      <c r="AK72" s="115"/>
      <c r="AL72" s="115"/>
      <c r="AM72" s="115"/>
      <c r="AN72" s="115"/>
      <c r="AO72" s="115"/>
      <c r="AP72" s="115"/>
      <c r="AQ72" s="115"/>
      <c r="AR72" s="115"/>
      <c r="AS72" s="115"/>
      <c r="AT72" s="115"/>
      <c r="AU72" s="115"/>
      <c r="AV72" s="115"/>
      <c r="AW72" s="115"/>
      <c r="AX72" s="115"/>
      <c r="AY72" s="115"/>
      <c r="AZ72" s="115"/>
      <c r="BA72" s="115"/>
      <c r="BB72" s="115"/>
      <c r="BC72" s="115"/>
      <c r="BD72" s="115"/>
      <c r="BE72" s="115"/>
      <c r="BF72" s="115"/>
    </row>
    <row r="73" spans="2:58">
      <c r="B73" s="129"/>
      <c r="C73" s="130"/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114"/>
      <c r="AA73" s="114"/>
      <c r="AB73" s="114"/>
      <c r="AC73" s="114"/>
      <c r="AD73" s="114"/>
      <c r="AE73" s="114"/>
      <c r="AF73" s="114"/>
      <c r="AG73" s="114"/>
      <c r="AH73" s="115"/>
      <c r="AI73" s="115"/>
      <c r="AJ73" s="115"/>
      <c r="AK73" s="115"/>
      <c r="AL73" s="115"/>
      <c r="AM73" s="115"/>
      <c r="AN73" s="115"/>
      <c r="AO73" s="115"/>
      <c r="AP73" s="115"/>
      <c r="AQ73" s="115"/>
      <c r="AR73" s="115"/>
      <c r="AS73" s="115"/>
      <c r="AT73" s="115"/>
      <c r="AU73" s="115"/>
      <c r="AV73" s="115"/>
      <c r="AW73" s="115"/>
      <c r="AX73" s="115"/>
      <c r="AY73" s="115"/>
      <c r="AZ73" s="115"/>
      <c r="BA73" s="115"/>
      <c r="BB73" s="115"/>
      <c r="BC73" s="115"/>
      <c r="BD73" s="115"/>
      <c r="BE73" s="115"/>
      <c r="BF73" s="115"/>
    </row>
    <row r="74" spans="2:58" ht="15.6">
      <c r="B74" s="131" t="s">
        <v>171</v>
      </c>
      <c r="C74" s="128"/>
      <c r="D74" s="114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114"/>
      <c r="AA74" s="114"/>
      <c r="AB74" s="114"/>
      <c r="AC74" s="114"/>
      <c r="AD74" s="114"/>
      <c r="AE74" s="114"/>
      <c r="AF74" s="114"/>
      <c r="AG74" s="114"/>
      <c r="AH74" s="115"/>
      <c r="AI74" s="115"/>
      <c r="AJ74" s="115"/>
      <c r="AK74" s="115"/>
      <c r="AL74" s="115"/>
      <c r="AM74" s="115"/>
      <c r="AN74" s="115"/>
      <c r="AO74" s="115"/>
      <c r="AP74" s="115"/>
      <c r="AQ74" s="115"/>
      <c r="AR74" s="115"/>
      <c r="AS74" s="115"/>
      <c r="AT74" s="115"/>
      <c r="AU74" s="115"/>
      <c r="AV74" s="115"/>
      <c r="AW74" s="115"/>
      <c r="AX74" s="115"/>
      <c r="AY74" s="115"/>
      <c r="AZ74" s="115"/>
      <c r="BA74" s="115"/>
      <c r="BB74" s="115"/>
      <c r="BC74" s="115"/>
      <c r="BD74" s="115"/>
      <c r="BE74" s="115"/>
      <c r="BF74" s="115"/>
    </row>
    <row r="75" spans="2:58" ht="15.6">
      <c r="B75" s="109" t="s">
        <v>79</v>
      </c>
      <c r="C75" s="110"/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114"/>
      <c r="AA75" s="114"/>
      <c r="AB75" s="114"/>
      <c r="AC75" s="114"/>
      <c r="AD75" s="114"/>
      <c r="AE75" s="114"/>
      <c r="AF75" s="114"/>
      <c r="AG75" s="114"/>
      <c r="AH75" s="115"/>
      <c r="AI75" s="115"/>
      <c r="AJ75" s="115"/>
      <c r="AK75" s="115"/>
      <c r="AL75" s="115"/>
      <c r="AM75" s="115"/>
      <c r="AN75" s="115"/>
      <c r="AO75" s="115"/>
      <c r="AP75" s="115"/>
      <c r="AQ75" s="115"/>
      <c r="AR75" s="115"/>
      <c r="AS75" s="115"/>
      <c r="AT75" s="115"/>
      <c r="AU75" s="115"/>
      <c r="AV75" s="115"/>
      <c r="AW75" s="115"/>
      <c r="AX75" s="115"/>
      <c r="AY75" s="115"/>
      <c r="AZ75" s="115"/>
      <c r="BA75" s="115"/>
      <c r="BB75" s="115"/>
      <c r="BC75" s="115"/>
      <c r="BD75" s="115"/>
      <c r="BE75" s="115"/>
      <c r="BF75" s="115"/>
    </row>
    <row r="76" spans="2:58">
      <c r="B76" s="132" t="s">
        <v>170</v>
      </c>
      <c r="C76" s="110" t="s">
        <v>3</v>
      </c>
      <c r="D76" s="114">
        <v>0</v>
      </c>
      <c r="E76" s="114">
        <v>0</v>
      </c>
      <c r="F76" s="114">
        <v>0</v>
      </c>
      <c r="G76" s="114">
        <v>0</v>
      </c>
      <c r="H76" s="114">
        <v>0</v>
      </c>
      <c r="I76" s="114">
        <v>0</v>
      </c>
      <c r="J76" s="114">
        <v>0</v>
      </c>
      <c r="K76" s="114">
        <v>0</v>
      </c>
      <c r="L76" s="114">
        <v>0</v>
      </c>
      <c r="M76" s="114">
        <v>0</v>
      </c>
      <c r="N76" s="114">
        <v>0</v>
      </c>
      <c r="O76" s="114">
        <v>0</v>
      </c>
      <c r="P76" s="114">
        <v>0</v>
      </c>
      <c r="Q76" s="114">
        <v>0</v>
      </c>
      <c r="R76" s="114">
        <v>0</v>
      </c>
      <c r="S76" s="114">
        <v>0</v>
      </c>
      <c r="T76" s="114">
        <v>0</v>
      </c>
      <c r="U76" s="114">
        <v>0</v>
      </c>
      <c r="V76" s="114">
        <v>0</v>
      </c>
      <c r="W76" s="114">
        <v>0</v>
      </c>
      <c r="X76" s="114">
        <v>0</v>
      </c>
      <c r="Y76" s="114">
        <v>0</v>
      </c>
      <c r="Z76" s="114">
        <v>0</v>
      </c>
      <c r="AA76" s="114">
        <v>0</v>
      </c>
      <c r="AB76" s="114">
        <v>0</v>
      </c>
      <c r="AC76" s="114">
        <v>0</v>
      </c>
      <c r="AD76" s="114">
        <v>0</v>
      </c>
      <c r="AE76" s="114">
        <v>0</v>
      </c>
      <c r="AF76" s="114">
        <v>0</v>
      </c>
      <c r="AG76" s="114">
        <v>0</v>
      </c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  <c r="AZ76" s="115"/>
      <c r="BA76" s="115"/>
      <c r="BB76" s="115"/>
      <c r="BC76" s="115"/>
      <c r="BD76" s="115"/>
      <c r="BE76" s="115"/>
      <c r="BF76" s="115"/>
    </row>
    <row r="77" spans="2:58">
      <c r="B77" s="132" t="s">
        <v>169</v>
      </c>
      <c r="C77" s="110"/>
      <c r="D77" s="114"/>
      <c r="E77" s="114"/>
      <c r="F77" s="114"/>
      <c r="G77" s="114"/>
      <c r="H77" s="114"/>
      <c r="I77" s="114"/>
      <c r="J77" s="114"/>
      <c r="K77" s="114"/>
      <c r="L77" s="114"/>
      <c r="M77" s="114"/>
      <c r="N77" s="114"/>
      <c r="O77" s="114"/>
      <c r="P77" s="114"/>
      <c r="Q77" s="114"/>
      <c r="R77" s="114"/>
      <c r="S77" s="114"/>
      <c r="T77" s="114"/>
      <c r="U77" s="114"/>
      <c r="V77" s="114"/>
      <c r="W77" s="114"/>
      <c r="X77" s="114"/>
      <c r="Y77" s="114"/>
      <c r="Z77" s="114"/>
      <c r="AA77" s="114"/>
      <c r="AB77" s="114"/>
      <c r="AC77" s="114"/>
      <c r="AD77" s="114"/>
      <c r="AE77" s="114"/>
      <c r="AF77" s="114"/>
      <c r="AG77" s="114"/>
      <c r="AH77" s="115"/>
      <c r="AI77" s="115"/>
      <c r="AJ77" s="115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  <c r="AX77" s="115"/>
      <c r="AY77" s="115"/>
      <c r="AZ77" s="115"/>
      <c r="BA77" s="115"/>
      <c r="BB77" s="115"/>
      <c r="BC77" s="115"/>
      <c r="BD77" s="115"/>
      <c r="BE77" s="115"/>
      <c r="BF77" s="115"/>
    </row>
    <row r="78" spans="2:58">
      <c r="B78" s="116" t="s">
        <v>183</v>
      </c>
      <c r="C78" s="110" t="s">
        <v>29</v>
      </c>
      <c r="D78" s="114">
        <v>0</v>
      </c>
      <c r="E78" s="114">
        <v>0</v>
      </c>
      <c r="F78" s="114">
        <v>0</v>
      </c>
      <c r="G78" s="114">
        <v>0</v>
      </c>
      <c r="H78" s="114">
        <v>0</v>
      </c>
      <c r="I78" s="114">
        <v>0</v>
      </c>
      <c r="J78" s="114">
        <v>0</v>
      </c>
      <c r="K78" s="114">
        <v>0</v>
      </c>
      <c r="L78" s="114">
        <v>0</v>
      </c>
      <c r="M78" s="114">
        <v>0</v>
      </c>
      <c r="N78" s="114">
        <v>0</v>
      </c>
      <c r="O78" s="114">
        <v>0</v>
      </c>
      <c r="P78" s="114">
        <v>0</v>
      </c>
      <c r="Q78" s="114">
        <v>0</v>
      </c>
      <c r="R78" s="114">
        <v>0</v>
      </c>
      <c r="S78" s="114">
        <v>0</v>
      </c>
      <c r="T78" s="114">
        <v>0</v>
      </c>
      <c r="U78" s="114">
        <f t="shared" ref="E78:AG78" si="2">U89</f>
        <v>0</v>
      </c>
      <c r="V78" s="114">
        <f t="shared" si="2"/>
        <v>0</v>
      </c>
      <c r="W78" s="114">
        <f t="shared" si="2"/>
        <v>0</v>
      </c>
      <c r="X78" s="114">
        <f t="shared" si="2"/>
        <v>0</v>
      </c>
      <c r="Y78" s="114">
        <f t="shared" si="2"/>
        <v>0</v>
      </c>
      <c r="Z78" s="114">
        <f t="shared" si="2"/>
        <v>0</v>
      </c>
      <c r="AA78" s="114">
        <f t="shared" si="2"/>
        <v>0</v>
      </c>
      <c r="AB78" s="114">
        <f t="shared" si="2"/>
        <v>0</v>
      </c>
      <c r="AC78" s="114">
        <f t="shared" si="2"/>
        <v>0</v>
      </c>
      <c r="AD78" s="114">
        <f t="shared" si="2"/>
        <v>0</v>
      </c>
      <c r="AE78" s="114">
        <f t="shared" si="2"/>
        <v>0</v>
      </c>
      <c r="AF78" s="114">
        <v>0</v>
      </c>
      <c r="AG78" s="114">
        <v>0</v>
      </c>
      <c r="AH78" s="115"/>
      <c r="AI78" s="115"/>
      <c r="AJ78" s="115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  <c r="AX78" s="115"/>
      <c r="AY78" s="115"/>
      <c r="AZ78" s="115"/>
      <c r="BA78" s="115"/>
      <c r="BB78" s="115"/>
      <c r="BC78" s="115"/>
      <c r="BD78" s="115"/>
      <c r="BE78" s="115"/>
      <c r="BF78" s="115"/>
    </row>
    <row r="79" spans="2:58">
      <c r="B79" s="116" t="s">
        <v>236</v>
      </c>
      <c r="C79" s="110" t="s">
        <v>29</v>
      </c>
      <c r="D79" s="114">
        <v>0</v>
      </c>
      <c r="E79" s="114">
        <v>0</v>
      </c>
      <c r="F79" s="114">
        <v>0</v>
      </c>
      <c r="G79" s="114">
        <v>0</v>
      </c>
      <c r="H79" s="114">
        <v>0</v>
      </c>
      <c r="I79" s="114">
        <v>0</v>
      </c>
      <c r="J79" s="114">
        <v>0</v>
      </c>
      <c r="K79" s="114">
        <v>0</v>
      </c>
      <c r="L79" s="114">
        <v>0</v>
      </c>
      <c r="M79" s="114">
        <v>0</v>
      </c>
      <c r="N79" s="114">
        <v>0</v>
      </c>
      <c r="O79" s="114">
        <v>0</v>
      </c>
      <c r="P79" s="114">
        <v>0</v>
      </c>
      <c r="Q79" s="114">
        <v>0</v>
      </c>
      <c r="R79" s="114">
        <v>0</v>
      </c>
      <c r="S79" s="114">
        <v>0</v>
      </c>
      <c r="T79" s="114">
        <v>0</v>
      </c>
      <c r="U79" s="114">
        <v>0</v>
      </c>
      <c r="V79" s="114">
        <v>0</v>
      </c>
      <c r="W79" s="114">
        <v>0</v>
      </c>
      <c r="X79" s="114">
        <v>0</v>
      </c>
      <c r="Y79" s="114">
        <v>0</v>
      </c>
      <c r="Z79" s="114">
        <v>0</v>
      </c>
      <c r="AA79" s="114">
        <v>0</v>
      </c>
      <c r="AB79" s="114">
        <v>0</v>
      </c>
      <c r="AC79" s="114">
        <v>0</v>
      </c>
      <c r="AD79" s="114">
        <v>0</v>
      </c>
      <c r="AE79" s="114">
        <v>0</v>
      </c>
      <c r="AF79" s="114">
        <v>0</v>
      </c>
      <c r="AG79" s="114">
        <v>0</v>
      </c>
      <c r="AH79" s="115"/>
      <c r="AI79" s="115"/>
      <c r="AJ79" s="115"/>
      <c r="AK79" s="115"/>
      <c r="AL79" s="115"/>
      <c r="AM79" s="115"/>
      <c r="AN79" s="115"/>
      <c r="AO79" s="115"/>
      <c r="AP79" s="115"/>
      <c r="AQ79" s="115"/>
      <c r="AR79" s="115"/>
      <c r="AS79" s="115"/>
      <c r="AT79" s="115"/>
      <c r="AU79" s="115"/>
      <c r="AV79" s="115"/>
      <c r="AW79" s="115"/>
      <c r="AX79" s="115"/>
      <c r="AY79" s="115"/>
      <c r="AZ79" s="115"/>
      <c r="BA79" s="115"/>
      <c r="BB79" s="115"/>
      <c r="BC79" s="115"/>
      <c r="BD79" s="115"/>
      <c r="BE79" s="115"/>
      <c r="BF79" s="115"/>
    </row>
    <row r="80" spans="2:58">
      <c r="B80" s="133" t="s">
        <v>235</v>
      </c>
      <c r="C80" s="110"/>
      <c r="D80" s="114"/>
      <c r="E80" s="114"/>
      <c r="F80" s="114"/>
      <c r="G80" s="114"/>
      <c r="H80" s="114"/>
      <c r="I80" s="114"/>
      <c r="J80" s="114"/>
      <c r="K80" s="114"/>
      <c r="L80" s="114"/>
      <c r="M80" s="114"/>
      <c r="N80" s="114"/>
      <c r="O80" s="114"/>
      <c r="P80" s="114"/>
      <c r="Q80" s="114"/>
      <c r="R80" s="114"/>
      <c r="S80" s="114"/>
      <c r="T80" s="114"/>
      <c r="U80" s="114"/>
      <c r="V80" s="114"/>
      <c r="W80" s="114"/>
      <c r="X80" s="114"/>
      <c r="Y80" s="114"/>
      <c r="Z80" s="114"/>
      <c r="AA80" s="114"/>
      <c r="AB80" s="114"/>
      <c r="AC80" s="114"/>
      <c r="AD80" s="114"/>
      <c r="AE80" s="114"/>
      <c r="AF80" s="114"/>
      <c r="AG80" s="114"/>
      <c r="AH80" s="115"/>
      <c r="AI80" s="115"/>
      <c r="AJ80" s="115"/>
      <c r="AK80" s="115"/>
      <c r="AL80" s="115"/>
      <c r="AM80" s="115"/>
      <c r="AN80" s="115"/>
      <c r="AO80" s="115"/>
      <c r="AP80" s="115"/>
      <c r="AQ80" s="115"/>
      <c r="AR80" s="115"/>
      <c r="AS80" s="115"/>
      <c r="AT80" s="115"/>
      <c r="AU80" s="115"/>
      <c r="AV80" s="115"/>
      <c r="AW80" s="115"/>
      <c r="AX80" s="115"/>
      <c r="AY80" s="115"/>
      <c r="AZ80" s="115"/>
      <c r="BA80" s="115"/>
      <c r="BB80" s="115"/>
      <c r="BC80" s="115"/>
      <c r="BD80" s="115"/>
      <c r="BE80" s="115"/>
      <c r="BF80" s="115"/>
    </row>
    <row r="81" spans="2:58">
      <c r="B81" s="122" t="s">
        <v>140</v>
      </c>
      <c r="C81" s="106" t="s">
        <v>3</v>
      </c>
      <c r="D81" s="114">
        <f>SUM(D92:D94)</f>
        <v>0</v>
      </c>
      <c r="E81" s="114">
        <f t="shared" ref="E81:V81" si="3">SUM(E92:E94)</f>
        <v>0</v>
      </c>
      <c r="F81" s="114">
        <f t="shared" si="3"/>
        <v>0</v>
      </c>
      <c r="G81" s="114">
        <f t="shared" si="3"/>
        <v>0</v>
      </c>
      <c r="H81" s="114">
        <f t="shared" si="3"/>
        <v>0</v>
      </c>
      <c r="I81" s="114">
        <f t="shared" ref="I81" si="4">SUM(I92:I94)</f>
        <v>133.36000000000001</v>
      </c>
      <c r="J81" s="114">
        <f t="shared" ref="J81:S81" si="5">SUM(J92:J94)</f>
        <v>200.04</v>
      </c>
      <c r="K81" s="114">
        <f t="shared" si="5"/>
        <v>200.04</v>
      </c>
      <c r="L81" s="114">
        <f t="shared" si="5"/>
        <v>200.04</v>
      </c>
      <c r="M81" s="114">
        <f t="shared" si="5"/>
        <v>266.72000000000003</v>
      </c>
      <c r="N81" s="114">
        <f t="shared" si="5"/>
        <v>780.5</v>
      </c>
      <c r="O81" s="114">
        <f t="shared" si="5"/>
        <v>410.0800000000001</v>
      </c>
      <c r="P81" s="114">
        <f t="shared" si="5"/>
        <v>512.6</v>
      </c>
      <c r="Q81" s="114">
        <f t="shared" si="5"/>
        <v>1746.2000000000003</v>
      </c>
      <c r="R81" s="114">
        <f t="shared" si="5"/>
        <v>430.08</v>
      </c>
      <c r="S81" s="114">
        <f t="shared" si="5"/>
        <v>537.60000000000014</v>
      </c>
      <c r="T81" s="114">
        <f t="shared" si="3"/>
        <v>2567.2000000000003</v>
      </c>
      <c r="U81" s="114">
        <f t="shared" si="3"/>
        <v>510.5</v>
      </c>
      <c r="V81" s="114">
        <f t="shared" si="3"/>
        <v>612.60000000000014</v>
      </c>
      <c r="W81" s="114">
        <f t="shared" ref="W81:X81" si="6">SUM(W92:W94)</f>
        <v>3669.54</v>
      </c>
      <c r="X81" s="114">
        <f t="shared" si="6"/>
        <v>200.04</v>
      </c>
      <c r="Y81" s="114">
        <f t="shared" ref="Y81:AG81" si="7">SUM(Y92:Y94)</f>
        <v>320.06400000000002</v>
      </c>
      <c r="Z81" s="114">
        <f t="shared" si="7"/>
        <v>400.08</v>
      </c>
      <c r="AA81" s="114">
        <f t="shared" si="7"/>
        <v>780.5</v>
      </c>
      <c r="AB81" s="114">
        <f t="shared" si="7"/>
        <v>410.0800000000001</v>
      </c>
      <c r="AC81" s="114">
        <f t="shared" si="7"/>
        <v>512.6</v>
      </c>
      <c r="AD81" s="114">
        <f t="shared" si="7"/>
        <v>1746.2000000000003</v>
      </c>
      <c r="AE81" s="114">
        <f t="shared" si="7"/>
        <v>320.06400000000002</v>
      </c>
      <c r="AF81" s="114">
        <f t="shared" si="7"/>
        <v>400.08</v>
      </c>
      <c r="AG81" s="114">
        <f t="shared" si="7"/>
        <v>4275</v>
      </c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  <c r="AZ81" s="115"/>
      <c r="BA81" s="115"/>
      <c r="BB81" s="115"/>
      <c r="BC81" s="115"/>
      <c r="BD81" s="115"/>
      <c r="BE81" s="115"/>
      <c r="BF81" s="115"/>
    </row>
    <row r="82" spans="2:58">
      <c r="B82" s="122" t="s">
        <v>137</v>
      </c>
      <c r="C82" s="106" t="s">
        <v>3</v>
      </c>
      <c r="D82" s="114">
        <f>SUM(D92:D94)</f>
        <v>0</v>
      </c>
      <c r="E82" s="114">
        <f t="shared" ref="E82:V82" si="8">SUM(E92:E94)</f>
        <v>0</v>
      </c>
      <c r="F82" s="114">
        <f t="shared" si="8"/>
        <v>0</v>
      </c>
      <c r="G82" s="114">
        <f t="shared" si="8"/>
        <v>0</v>
      </c>
      <c r="H82" s="114">
        <f t="shared" si="8"/>
        <v>0</v>
      </c>
      <c r="I82" s="114">
        <f t="shared" ref="I82" si="9">SUM(I92:I94)</f>
        <v>133.36000000000001</v>
      </c>
      <c r="J82" s="114">
        <f t="shared" ref="J82:S82" si="10">SUM(J92:J94)</f>
        <v>200.04</v>
      </c>
      <c r="K82" s="114">
        <f t="shared" si="10"/>
        <v>200.04</v>
      </c>
      <c r="L82" s="114">
        <f t="shared" si="10"/>
        <v>200.04</v>
      </c>
      <c r="M82" s="114">
        <f t="shared" si="10"/>
        <v>266.72000000000003</v>
      </c>
      <c r="N82" s="114">
        <f t="shared" si="10"/>
        <v>780.5</v>
      </c>
      <c r="O82" s="114">
        <f t="shared" si="10"/>
        <v>410.0800000000001</v>
      </c>
      <c r="P82" s="114">
        <f t="shared" si="10"/>
        <v>512.6</v>
      </c>
      <c r="Q82" s="114">
        <f t="shared" si="10"/>
        <v>1746.2000000000003</v>
      </c>
      <c r="R82" s="114">
        <f t="shared" si="10"/>
        <v>430.08</v>
      </c>
      <c r="S82" s="114">
        <f t="shared" si="10"/>
        <v>537.60000000000014</v>
      </c>
      <c r="T82" s="114">
        <f t="shared" si="8"/>
        <v>2567.2000000000003</v>
      </c>
      <c r="U82" s="114">
        <f t="shared" si="8"/>
        <v>510.5</v>
      </c>
      <c r="V82" s="114">
        <f t="shared" si="8"/>
        <v>612.60000000000014</v>
      </c>
      <c r="W82" s="114">
        <f t="shared" ref="W82:X82" si="11">SUM(W92:W94)</f>
        <v>3669.54</v>
      </c>
      <c r="X82" s="114">
        <f t="shared" si="11"/>
        <v>200.04</v>
      </c>
      <c r="Y82" s="114">
        <f t="shared" ref="Y82:AG82" si="12">SUM(Y92:Y94)</f>
        <v>320.06400000000002</v>
      </c>
      <c r="Z82" s="114">
        <f t="shared" si="12"/>
        <v>400.08</v>
      </c>
      <c r="AA82" s="114">
        <f t="shared" si="12"/>
        <v>780.5</v>
      </c>
      <c r="AB82" s="114">
        <f t="shared" si="12"/>
        <v>410.0800000000001</v>
      </c>
      <c r="AC82" s="114">
        <f t="shared" si="12"/>
        <v>512.6</v>
      </c>
      <c r="AD82" s="114">
        <f t="shared" si="12"/>
        <v>1746.2000000000003</v>
      </c>
      <c r="AE82" s="114">
        <f t="shared" si="12"/>
        <v>320.06400000000002</v>
      </c>
      <c r="AF82" s="114">
        <f t="shared" si="12"/>
        <v>400.08</v>
      </c>
      <c r="AG82" s="114">
        <f t="shared" si="12"/>
        <v>4275</v>
      </c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  <c r="AZ82" s="115"/>
      <c r="BA82" s="115"/>
      <c r="BB82" s="115"/>
      <c r="BC82" s="115"/>
      <c r="BD82" s="115"/>
      <c r="BE82" s="115"/>
      <c r="BF82" s="115"/>
    </row>
    <row r="83" spans="2:58">
      <c r="B83" s="122" t="s">
        <v>141</v>
      </c>
      <c r="C83" s="106" t="s">
        <v>3</v>
      </c>
      <c r="D83" s="114">
        <f>SUM(D92:D94)</f>
        <v>0</v>
      </c>
      <c r="E83" s="114">
        <f t="shared" ref="E83:V83" si="13">SUM(E92:E94)</f>
        <v>0</v>
      </c>
      <c r="F83" s="114">
        <f t="shared" si="13"/>
        <v>0</v>
      </c>
      <c r="G83" s="114">
        <f t="shared" si="13"/>
        <v>0</v>
      </c>
      <c r="H83" s="114">
        <f t="shared" si="13"/>
        <v>0</v>
      </c>
      <c r="I83" s="114">
        <f t="shared" ref="I83" si="14">SUM(I92:I94)</f>
        <v>133.36000000000001</v>
      </c>
      <c r="J83" s="114">
        <f t="shared" ref="J83:S83" si="15">SUM(J92:J94)</f>
        <v>200.04</v>
      </c>
      <c r="K83" s="114">
        <f t="shared" si="15"/>
        <v>200.04</v>
      </c>
      <c r="L83" s="114">
        <f t="shared" si="15"/>
        <v>200.04</v>
      </c>
      <c r="M83" s="114">
        <f t="shared" si="15"/>
        <v>266.72000000000003</v>
      </c>
      <c r="N83" s="114">
        <f t="shared" si="15"/>
        <v>780.5</v>
      </c>
      <c r="O83" s="114">
        <f t="shared" si="15"/>
        <v>410.0800000000001</v>
      </c>
      <c r="P83" s="114">
        <f t="shared" si="15"/>
        <v>512.6</v>
      </c>
      <c r="Q83" s="114">
        <f t="shared" si="15"/>
        <v>1746.2000000000003</v>
      </c>
      <c r="R83" s="114">
        <f t="shared" si="15"/>
        <v>430.08</v>
      </c>
      <c r="S83" s="114">
        <f t="shared" si="15"/>
        <v>537.60000000000014</v>
      </c>
      <c r="T83" s="114">
        <f t="shared" si="13"/>
        <v>2567.2000000000003</v>
      </c>
      <c r="U83" s="114">
        <f t="shared" si="13"/>
        <v>510.5</v>
      </c>
      <c r="V83" s="114">
        <f t="shared" si="13"/>
        <v>612.60000000000014</v>
      </c>
      <c r="W83" s="114">
        <f t="shared" ref="W83:X83" si="16">SUM(W92:W94)</f>
        <v>3669.54</v>
      </c>
      <c r="X83" s="114">
        <f t="shared" si="16"/>
        <v>200.04</v>
      </c>
      <c r="Y83" s="114">
        <f t="shared" ref="Y83:AG83" si="17">SUM(Y92:Y94)</f>
        <v>320.06400000000002</v>
      </c>
      <c r="Z83" s="114">
        <f t="shared" si="17"/>
        <v>400.08</v>
      </c>
      <c r="AA83" s="114">
        <f t="shared" si="17"/>
        <v>780.5</v>
      </c>
      <c r="AB83" s="114">
        <f t="shared" si="17"/>
        <v>410.0800000000001</v>
      </c>
      <c r="AC83" s="114">
        <f t="shared" si="17"/>
        <v>512.6</v>
      </c>
      <c r="AD83" s="114">
        <f t="shared" si="17"/>
        <v>1746.2000000000003</v>
      </c>
      <c r="AE83" s="114">
        <f t="shared" si="17"/>
        <v>320.06400000000002</v>
      </c>
      <c r="AF83" s="114">
        <f t="shared" si="17"/>
        <v>400.08</v>
      </c>
      <c r="AG83" s="114">
        <f t="shared" si="17"/>
        <v>4275</v>
      </c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  <c r="AZ83" s="115"/>
      <c r="BA83" s="115"/>
      <c r="BB83" s="115"/>
      <c r="BC83" s="115"/>
      <c r="BD83" s="115"/>
      <c r="BE83" s="115"/>
      <c r="BF83" s="115"/>
    </row>
    <row r="84" spans="2:58">
      <c r="B84" s="122" t="s">
        <v>168</v>
      </c>
      <c r="C84" s="106" t="s">
        <v>29</v>
      </c>
      <c r="D84" s="114">
        <v>0</v>
      </c>
      <c r="E84" s="114">
        <v>0</v>
      </c>
      <c r="F84" s="114">
        <v>0</v>
      </c>
      <c r="G84" s="114">
        <v>0</v>
      </c>
      <c r="H84" s="114">
        <v>0</v>
      </c>
      <c r="I84" s="114">
        <v>1</v>
      </c>
      <c r="J84" s="114">
        <v>0</v>
      </c>
      <c r="K84" s="114">
        <v>0</v>
      </c>
      <c r="L84" s="114">
        <v>0</v>
      </c>
      <c r="M84" s="114">
        <v>0</v>
      </c>
      <c r="N84" s="114">
        <v>0</v>
      </c>
      <c r="O84" s="114">
        <v>0</v>
      </c>
      <c r="P84" s="114">
        <v>0</v>
      </c>
      <c r="Q84" s="114">
        <v>69500</v>
      </c>
      <c r="R84" s="114">
        <v>0</v>
      </c>
      <c r="S84" s="114">
        <v>0</v>
      </c>
      <c r="T84" s="114">
        <v>0</v>
      </c>
      <c r="U84" s="114">
        <v>0</v>
      </c>
      <c r="V84" s="114">
        <v>0</v>
      </c>
      <c r="W84" s="114">
        <v>1</v>
      </c>
      <c r="X84" s="114">
        <v>2</v>
      </c>
      <c r="Y84" s="114">
        <v>0</v>
      </c>
      <c r="Z84" s="114">
        <v>0</v>
      </c>
      <c r="AA84" s="114">
        <v>0</v>
      </c>
      <c r="AB84" s="114">
        <v>0</v>
      </c>
      <c r="AC84" s="114">
        <v>0</v>
      </c>
      <c r="AD84" s="114">
        <v>0</v>
      </c>
      <c r="AE84" s="114">
        <v>0</v>
      </c>
      <c r="AF84" s="114">
        <v>0</v>
      </c>
      <c r="AG84" s="114">
        <v>0</v>
      </c>
      <c r="AH84" s="115"/>
      <c r="AI84" s="115"/>
      <c r="AJ84" s="115"/>
      <c r="AK84" s="115"/>
      <c r="AL84" s="115"/>
      <c r="AM84" s="115"/>
      <c r="AN84" s="115"/>
      <c r="AO84" s="115"/>
      <c r="AP84" s="115"/>
      <c r="AQ84" s="115"/>
      <c r="AR84" s="115"/>
      <c r="AS84" s="115"/>
      <c r="AT84" s="115"/>
      <c r="AU84" s="115"/>
      <c r="AV84" s="115"/>
      <c r="AW84" s="115"/>
      <c r="AX84" s="115"/>
      <c r="AY84" s="115"/>
      <c r="AZ84" s="115"/>
      <c r="BA84" s="115"/>
      <c r="BB84" s="115"/>
      <c r="BC84" s="115"/>
      <c r="BD84" s="115"/>
      <c r="BE84" s="115"/>
      <c r="BF84" s="115"/>
    </row>
    <row r="85" spans="2:58">
      <c r="B85" s="132"/>
      <c r="C85" s="106"/>
      <c r="D85" s="114"/>
      <c r="E85" s="114"/>
      <c r="F85" s="114"/>
      <c r="G85" s="114"/>
      <c r="H85" s="114"/>
      <c r="I85" s="114"/>
      <c r="J85" s="114"/>
      <c r="K85" s="114"/>
      <c r="L85" s="114"/>
      <c r="M85" s="114"/>
      <c r="N85" s="114"/>
      <c r="O85" s="114"/>
      <c r="P85" s="114"/>
      <c r="Q85" s="114"/>
      <c r="R85" s="114"/>
      <c r="S85" s="114"/>
      <c r="T85" s="114"/>
      <c r="U85" s="114"/>
      <c r="V85" s="114"/>
      <c r="W85" s="114"/>
      <c r="X85" s="114"/>
      <c r="Y85" s="114"/>
      <c r="Z85" s="114"/>
      <c r="AA85" s="114"/>
      <c r="AB85" s="114"/>
      <c r="AC85" s="114"/>
      <c r="AD85" s="114"/>
      <c r="AE85" s="114"/>
      <c r="AF85" s="114"/>
      <c r="AG85" s="114"/>
      <c r="AH85" s="115"/>
      <c r="AI85" s="115"/>
      <c r="AJ85" s="115"/>
      <c r="AK85" s="115"/>
      <c r="AL85" s="115"/>
      <c r="AM85" s="115"/>
      <c r="AN85" s="115"/>
      <c r="AO85" s="115"/>
      <c r="AP85" s="115"/>
      <c r="AQ85" s="115"/>
      <c r="AR85" s="115"/>
      <c r="AS85" s="115"/>
      <c r="AT85" s="115"/>
      <c r="AU85" s="115"/>
      <c r="AV85" s="115"/>
      <c r="AW85" s="115"/>
      <c r="AX85" s="115"/>
      <c r="AY85" s="115"/>
      <c r="AZ85" s="115"/>
      <c r="BA85" s="115"/>
      <c r="BB85" s="115"/>
      <c r="BC85" s="115"/>
      <c r="BD85" s="115"/>
      <c r="BE85" s="115"/>
      <c r="BF85" s="115"/>
    </row>
    <row r="86" spans="2:58">
      <c r="B86" s="132"/>
      <c r="C86" s="106"/>
      <c r="D86" s="114"/>
      <c r="E86" s="114"/>
      <c r="F86" s="114"/>
      <c r="G86" s="114"/>
      <c r="H86" s="114"/>
      <c r="I86" s="114"/>
      <c r="J86" s="114"/>
      <c r="K86" s="114"/>
      <c r="L86" s="114"/>
      <c r="M86" s="114"/>
      <c r="N86" s="114"/>
      <c r="O86" s="114"/>
      <c r="P86" s="114"/>
      <c r="Q86" s="114"/>
      <c r="R86" s="114"/>
      <c r="S86" s="114"/>
      <c r="T86" s="114"/>
      <c r="U86" s="114"/>
      <c r="V86" s="114"/>
      <c r="W86" s="114"/>
      <c r="X86" s="114"/>
      <c r="Y86" s="114"/>
      <c r="Z86" s="114"/>
      <c r="AA86" s="114"/>
      <c r="AB86" s="114"/>
      <c r="AC86" s="114"/>
      <c r="AD86" s="114"/>
      <c r="AE86" s="114"/>
      <c r="AF86" s="114"/>
      <c r="AG86" s="114"/>
      <c r="AH86" s="115"/>
      <c r="AI86" s="115"/>
      <c r="AJ86" s="115"/>
      <c r="AK86" s="115"/>
      <c r="AL86" s="115"/>
      <c r="AM86" s="115"/>
      <c r="AN86" s="115"/>
      <c r="AO86" s="115"/>
      <c r="AP86" s="115"/>
      <c r="AQ86" s="115"/>
      <c r="AR86" s="115"/>
      <c r="AS86" s="115"/>
      <c r="AT86" s="115"/>
      <c r="AU86" s="115"/>
      <c r="AV86" s="115"/>
      <c r="AW86" s="115"/>
      <c r="AX86" s="115"/>
      <c r="AY86" s="115"/>
      <c r="AZ86" s="115"/>
      <c r="BA86" s="115"/>
      <c r="BB86" s="115"/>
      <c r="BC86" s="115"/>
      <c r="BD86" s="115"/>
      <c r="BE86" s="115"/>
      <c r="BF86" s="115"/>
    </row>
    <row r="87" spans="2:58" ht="15.6">
      <c r="B87" s="109" t="s">
        <v>80</v>
      </c>
      <c r="C87" s="111"/>
      <c r="D87" s="114"/>
      <c r="E87" s="114"/>
      <c r="F87" s="114"/>
      <c r="G87" s="114"/>
      <c r="H87" s="114"/>
      <c r="I87" s="114"/>
      <c r="J87" s="114"/>
      <c r="K87" s="114"/>
      <c r="L87" s="114"/>
      <c r="M87" s="114"/>
      <c r="N87" s="114"/>
      <c r="O87" s="114"/>
      <c r="P87" s="114"/>
      <c r="Q87" s="114"/>
      <c r="R87" s="114"/>
      <c r="S87" s="114"/>
      <c r="T87" s="114"/>
      <c r="U87" s="114"/>
      <c r="V87" s="114"/>
      <c r="W87" s="114"/>
      <c r="X87" s="114"/>
      <c r="Y87" s="114"/>
      <c r="Z87" s="114"/>
      <c r="AA87" s="114"/>
      <c r="AB87" s="114"/>
      <c r="AC87" s="114"/>
      <c r="AD87" s="114"/>
      <c r="AE87" s="114"/>
      <c r="AF87" s="114"/>
      <c r="AG87" s="114"/>
      <c r="AH87" s="115"/>
      <c r="AI87" s="115"/>
      <c r="AJ87" s="115"/>
      <c r="AK87" s="115"/>
      <c r="AL87" s="115"/>
      <c r="AM87" s="115"/>
      <c r="AN87" s="115"/>
      <c r="AO87" s="115"/>
      <c r="AP87" s="115"/>
      <c r="AQ87" s="115"/>
      <c r="AR87" s="115"/>
      <c r="AS87" s="115"/>
      <c r="AT87" s="115"/>
      <c r="AU87" s="115"/>
      <c r="AV87" s="115"/>
      <c r="AW87" s="115"/>
      <c r="AX87" s="115"/>
      <c r="AY87" s="115"/>
      <c r="AZ87" s="115"/>
      <c r="BA87" s="115"/>
      <c r="BB87" s="115"/>
      <c r="BC87" s="115"/>
      <c r="BD87" s="115"/>
      <c r="BE87" s="115"/>
      <c r="BF87" s="115"/>
    </row>
    <row r="88" spans="2:58">
      <c r="B88" s="132" t="s">
        <v>167</v>
      </c>
      <c r="C88" s="110"/>
      <c r="D88" s="114"/>
      <c r="E88" s="114"/>
      <c r="F88" s="114"/>
      <c r="G88" s="114"/>
      <c r="H88" s="114"/>
      <c r="I88" s="114"/>
      <c r="J88" s="114"/>
      <c r="K88" s="114"/>
      <c r="L88" s="114"/>
      <c r="M88" s="114"/>
      <c r="N88" s="114"/>
      <c r="O88" s="114"/>
      <c r="P88" s="114"/>
      <c r="Q88" s="114"/>
      <c r="R88" s="114"/>
      <c r="S88" s="114"/>
      <c r="T88" s="114"/>
      <c r="U88" s="114"/>
      <c r="V88" s="114"/>
      <c r="W88" s="114"/>
      <c r="X88" s="114"/>
      <c r="Y88" s="114"/>
      <c r="Z88" s="114"/>
      <c r="AA88" s="114"/>
      <c r="AB88" s="114"/>
      <c r="AC88" s="114"/>
      <c r="AD88" s="114"/>
      <c r="AE88" s="114"/>
      <c r="AF88" s="114"/>
      <c r="AG88" s="114"/>
      <c r="AH88" s="115"/>
      <c r="AI88" s="115"/>
      <c r="AJ88" s="115"/>
      <c r="AK88" s="115"/>
      <c r="AL88" s="115"/>
      <c r="AM88" s="115"/>
      <c r="AN88" s="115"/>
      <c r="AO88" s="115"/>
      <c r="AP88" s="115"/>
      <c r="AQ88" s="115"/>
      <c r="AR88" s="115"/>
      <c r="AS88" s="115"/>
      <c r="AT88" s="115"/>
      <c r="AU88" s="115"/>
      <c r="AV88" s="115"/>
      <c r="AW88" s="115"/>
      <c r="AX88" s="115"/>
      <c r="AY88" s="115"/>
      <c r="AZ88" s="115"/>
      <c r="BA88" s="115"/>
      <c r="BB88" s="115"/>
      <c r="BC88" s="115"/>
      <c r="BD88" s="115"/>
      <c r="BE88" s="115"/>
      <c r="BF88" s="115"/>
    </row>
    <row r="89" spans="2:58">
      <c r="B89" s="116" t="s">
        <v>183</v>
      </c>
      <c r="C89" s="110" t="s">
        <v>7</v>
      </c>
      <c r="D89" s="114">
        <v>0</v>
      </c>
      <c r="E89" s="114">
        <v>0</v>
      </c>
      <c r="F89" s="114">
        <v>0</v>
      </c>
      <c r="G89" s="114">
        <v>0</v>
      </c>
      <c r="H89" s="114">
        <v>0</v>
      </c>
      <c r="I89" s="114">
        <v>0</v>
      </c>
      <c r="J89" s="114">
        <v>0</v>
      </c>
      <c r="K89" s="114">
        <v>0</v>
      </c>
      <c r="L89" s="114">
        <v>0</v>
      </c>
      <c r="M89" s="114">
        <v>0</v>
      </c>
      <c r="N89" s="114">
        <v>0</v>
      </c>
      <c r="O89" s="114">
        <v>0</v>
      </c>
      <c r="P89" s="114">
        <v>0</v>
      </c>
      <c r="Q89" s="114">
        <v>0</v>
      </c>
      <c r="R89" s="114">
        <v>0</v>
      </c>
      <c r="S89" s="114">
        <v>0</v>
      </c>
      <c r="T89" s="114">
        <v>0</v>
      </c>
      <c r="U89" s="114">
        <v>0</v>
      </c>
      <c r="V89" s="114">
        <v>0</v>
      </c>
      <c r="W89" s="114">
        <v>0</v>
      </c>
      <c r="X89" s="114">
        <v>0</v>
      </c>
      <c r="Y89" s="114">
        <v>0</v>
      </c>
      <c r="Z89" s="114">
        <v>0</v>
      </c>
      <c r="AA89" s="114">
        <v>0</v>
      </c>
      <c r="AB89" s="114">
        <v>0</v>
      </c>
      <c r="AC89" s="114">
        <v>0</v>
      </c>
      <c r="AD89" s="114">
        <v>0</v>
      </c>
      <c r="AE89" s="114">
        <v>0</v>
      </c>
      <c r="AF89" s="114">
        <v>0</v>
      </c>
      <c r="AG89" s="114">
        <v>0</v>
      </c>
      <c r="AH89" s="115"/>
      <c r="AI89" s="115"/>
      <c r="AJ89" s="115"/>
      <c r="AK89" s="115"/>
      <c r="AL89" s="115"/>
      <c r="AM89" s="115"/>
      <c r="AN89" s="115"/>
      <c r="AO89" s="115"/>
      <c r="AP89" s="115"/>
      <c r="AQ89" s="115"/>
      <c r="AR89" s="115"/>
      <c r="AS89" s="115"/>
      <c r="AT89" s="115"/>
      <c r="AU89" s="115"/>
      <c r="AV89" s="115"/>
      <c r="AW89" s="115"/>
      <c r="AX89" s="115"/>
      <c r="AY89" s="115"/>
      <c r="AZ89" s="115"/>
      <c r="BA89" s="115"/>
      <c r="BB89" s="115"/>
      <c r="BC89" s="115"/>
      <c r="BD89" s="115"/>
      <c r="BE89" s="115"/>
      <c r="BF89" s="115"/>
    </row>
    <row r="90" spans="2:58" ht="12.75" customHeight="1">
      <c r="B90" s="134" t="s">
        <v>165</v>
      </c>
      <c r="C90" s="110"/>
      <c r="D90" s="114"/>
      <c r="E90" s="114"/>
      <c r="F90" s="114"/>
      <c r="G90" s="114"/>
      <c r="H90" s="114"/>
      <c r="I90" s="114"/>
      <c r="J90" s="114"/>
      <c r="K90" s="114"/>
      <c r="L90" s="114"/>
      <c r="M90" s="114"/>
      <c r="N90" s="114"/>
      <c r="O90" s="114"/>
      <c r="P90" s="114"/>
      <c r="Q90" s="114"/>
      <c r="R90" s="114"/>
      <c r="S90" s="114"/>
      <c r="T90" s="114"/>
      <c r="U90" s="114"/>
      <c r="V90" s="114"/>
      <c r="W90" s="114"/>
      <c r="X90" s="114"/>
      <c r="Y90" s="114"/>
      <c r="Z90" s="114"/>
      <c r="AA90" s="114"/>
      <c r="AB90" s="114"/>
      <c r="AC90" s="114"/>
      <c r="AD90" s="114"/>
      <c r="AE90" s="114"/>
      <c r="AF90" s="114"/>
      <c r="AG90" s="114"/>
      <c r="AH90" s="115"/>
      <c r="AI90" s="115"/>
      <c r="AJ90" s="115"/>
      <c r="AK90" s="115"/>
      <c r="AL90" s="115"/>
      <c r="AM90" s="115"/>
      <c r="AN90" s="115"/>
      <c r="AO90" s="115"/>
      <c r="AP90" s="115"/>
      <c r="AQ90" s="115"/>
      <c r="AR90" s="115"/>
      <c r="AS90" s="115"/>
      <c r="AT90" s="115"/>
      <c r="AU90" s="115"/>
      <c r="AV90" s="115"/>
      <c r="AW90" s="115"/>
      <c r="AX90" s="115"/>
      <c r="AY90" s="115"/>
      <c r="AZ90" s="115"/>
      <c r="BA90" s="115"/>
      <c r="BB90" s="115"/>
      <c r="BC90" s="115"/>
      <c r="BD90" s="115"/>
      <c r="BE90" s="115"/>
      <c r="BF90" s="115"/>
    </row>
    <row r="91" spans="2:58">
      <c r="B91" s="123" t="s">
        <v>238</v>
      </c>
      <c r="C91" s="110"/>
      <c r="D91" s="114"/>
      <c r="E91" s="114"/>
      <c r="F91" s="114"/>
      <c r="G91" s="114"/>
      <c r="H91" s="114"/>
      <c r="I91" s="114"/>
      <c r="J91" s="114"/>
      <c r="K91" s="114"/>
      <c r="L91" s="114"/>
      <c r="M91" s="114"/>
      <c r="N91" s="114"/>
      <c r="O91" s="114"/>
      <c r="P91" s="114"/>
      <c r="Q91" s="114"/>
      <c r="R91" s="114"/>
      <c r="S91" s="114"/>
      <c r="T91" s="114"/>
      <c r="U91" s="114"/>
      <c r="V91" s="114"/>
      <c r="W91" s="114"/>
      <c r="X91" s="114"/>
      <c r="Y91" s="114"/>
      <c r="Z91" s="114"/>
      <c r="AA91" s="114"/>
      <c r="AB91" s="114"/>
      <c r="AC91" s="114"/>
      <c r="AD91" s="114"/>
      <c r="AE91" s="114"/>
      <c r="AF91" s="114"/>
      <c r="AG91" s="114"/>
      <c r="AH91" s="115"/>
      <c r="AI91" s="115"/>
      <c r="AJ91" s="115"/>
      <c r="AK91" s="115"/>
      <c r="AL91" s="115"/>
      <c r="AM91" s="115"/>
      <c r="AN91" s="115"/>
      <c r="AO91" s="115"/>
      <c r="AP91" s="115"/>
      <c r="AQ91" s="115"/>
      <c r="AR91" s="115"/>
      <c r="AS91" s="115"/>
      <c r="AT91" s="115"/>
      <c r="AU91" s="115"/>
      <c r="AV91" s="115"/>
      <c r="AW91" s="115"/>
      <c r="AX91" s="115"/>
      <c r="AY91" s="115"/>
      <c r="AZ91" s="115"/>
      <c r="BA91" s="115"/>
      <c r="BB91" s="115"/>
      <c r="BC91" s="115"/>
      <c r="BD91" s="115"/>
      <c r="BE91" s="115"/>
      <c r="BF91" s="115"/>
    </row>
    <row r="92" spans="2:58">
      <c r="B92" s="116" t="s">
        <v>142</v>
      </c>
      <c r="C92" s="110" t="s">
        <v>7</v>
      </c>
      <c r="D92" s="114">
        <v>0</v>
      </c>
      <c r="E92" s="114">
        <v>0</v>
      </c>
      <c r="F92" s="114">
        <v>0</v>
      </c>
      <c r="G92" s="114">
        <v>0</v>
      </c>
      <c r="H92" s="114">
        <v>0</v>
      </c>
      <c r="I92" s="138">
        <v>0</v>
      </c>
      <c r="J92" s="138">
        <v>0</v>
      </c>
      <c r="K92" s="138">
        <v>0</v>
      </c>
      <c r="L92" s="139">
        <v>0</v>
      </c>
      <c r="M92" s="138">
        <v>0</v>
      </c>
      <c r="N92" s="140">
        <v>246.72000000000006</v>
      </c>
      <c r="O92" s="139">
        <v>0</v>
      </c>
      <c r="P92" s="138">
        <v>0</v>
      </c>
      <c r="Q92" s="140">
        <v>616.80000000000007</v>
      </c>
      <c r="R92" s="139">
        <v>0</v>
      </c>
      <c r="S92" s="139">
        <v>0</v>
      </c>
      <c r="T92" s="140">
        <v>1002.3000000000001</v>
      </c>
      <c r="U92" s="139">
        <v>0</v>
      </c>
      <c r="V92" s="141">
        <v>0</v>
      </c>
      <c r="W92" s="140">
        <v>1696.2</v>
      </c>
      <c r="X92" s="141">
        <v>0</v>
      </c>
      <c r="Y92" s="141">
        <v>0</v>
      </c>
      <c r="Z92" s="139">
        <v>0</v>
      </c>
      <c r="AA92" s="140">
        <v>246.72000000000006</v>
      </c>
      <c r="AB92" s="139">
        <v>0</v>
      </c>
      <c r="AC92" s="138">
        <v>0</v>
      </c>
      <c r="AD92" s="140">
        <v>616.80000000000007</v>
      </c>
      <c r="AE92" s="114">
        <v>0</v>
      </c>
      <c r="AF92" s="114">
        <v>0</v>
      </c>
      <c r="AG92" s="142">
        <v>1250</v>
      </c>
      <c r="AH92" s="115"/>
      <c r="AI92" s="115"/>
      <c r="AJ92" s="115"/>
      <c r="AK92" s="115"/>
      <c r="AL92" s="115"/>
      <c r="AM92" s="115"/>
      <c r="AN92" s="115"/>
      <c r="AO92" s="115"/>
      <c r="AP92" s="115"/>
      <c r="AQ92" s="115"/>
      <c r="AR92" s="115"/>
      <c r="AS92" s="115"/>
      <c r="AT92" s="115"/>
      <c r="AU92" s="115"/>
      <c r="AV92" s="115"/>
      <c r="AW92" s="115"/>
      <c r="AX92" s="115"/>
      <c r="AY92" s="115"/>
      <c r="AZ92" s="115"/>
      <c r="BA92" s="115"/>
      <c r="BB92" s="115"/>
      <c r="BC92" s="115"/>
      <c r="BD92" s="115"/>
      <c r="BE92" s="115"/>
      <c r="BF92" s="115"/>
    </row>
    <row r="93" spans="2:58">
      <c r="B93" s="116" t="s">
        <v>143</v>
      </c>
      <c r="C93" s="110" t="s">
        <v>7</v>
      </c>
      <c r="D93" s="114">
        <v>0</v>
      </c>
      <c r="E93" s="114">
        <v>0</v>
      </c>
      <c r="F93" s="114">
        <v>0</v>
      </c>
      <c r="G93" s="114">
        <v>0</v>
      </c>
      <c r="H93" s="114">
        <v>0</v>
      </c>
      <c r="I93" s="138">
        <v>0</v>
      </c>
      <c r="J93" s="138">
        <v>0</v>
      </c>
      <c r="K93" s="138">
        <v>0</v>
      </c>
      <c r="L93" s="139">
        <v>0</v>
      </c>
      <c r="M93" s="138">
        <v>0</v>
      </c>
      <c r="N93" s="140">
        <v>292.98</v>
      </c>
      <c r="O93" s="139">
        <v>0</v>
      </c>
      <c r="P93" s="138">
        <v>0</v>
      </c>
      <c r="Q93" s="140">
        <v>771</v>
      </c>
      <c r="R93" s="139">
        <v>0</v>
      </c>
      <c r="S93" s="139">
        <v>0</v>
      </c>
      <c r="T93" s="140">
        <v>1156.5</v>
      </c>
      <c r="U93" s="139">
        <v>0</v>
      </c>
      <c r="V93" s="141">
        <v>0</v>
      </c>
      <c r="W93" s="140">
        <v>1773.3000000000002</v>
      </c>
      <c r="X93" s="141">
        <v>0</v>
      </c>
      <c r="Y93" s="141">
        <v>0</v>
      </c>
      <c r="Z93" s="139">
        <v>0</v>
      </c>
      <c r="AA93" s="140">
        <v>292.98</v>
      </c>
      <c r="AB93" s="139">
        <v>0</v>
      </c>
      <c r="AC93" s="138">
        <v>0</v>
      </c>
      <c r="AD93" s="140">
        <v>771</v>
      </c>
      <c r="AE93" s="114">
        <v>0</v>
      </c>
      <c r="AF93" s="114">
        <v>0</v>
      </c>
      <c r="AG93" s="142">
        <v>1775.0000000000002</v>
      </c>
      <c r="AH93" s="115"/>
      <c r="AI93" s="115"/>
      <c r="AJ93" s="115"/>
      <c r="AK93" s="115"/>
      <c r="AL93" s="115"/>
      <c r="AM93" s="115"/>
      <c r="AN93" s="115"/>
      <c r="AO93" s="115"/>
      <c r="AP93" s="115"/>
      <c r="AQ93" s="115"/>
      <c r="AR93" s="115"/>
      <c r="AS93" s="115"/>
      <c r="AT93" s="115"/>
      <c r="AU93" s="115"/>
      <c r="AV93" s="115"/>
      <c r="AW93" s="115"/>
      <c r="AX93" s="115"/>
      <c r="AY93" s="115"/>
      <c r="AZ93" s="115"/>
      <c r="BA93" s="115"/>
      <c r="BB93" s="115"/>
      <c r="BC93" s="115"/>
      <c r="BD93" s="115"/>
      <c r="BE93" s="115"/>
      <c r="BF93" s="115"/>
    </row>
    <row r="94" spans="2:58">
      <c r="B94" s="116" t="s">
        <v>144</v>
      </c>
      <c r="C94" s="110" t="s">
        <v>7</v>
      </c>
      <c r="D94" s="114">
        <v>0</v>
      </c>
      <c r="E94" s="114">
        <v>0</v>
      </c>
      <c r="F94" s="114">
        <v>0</v>
      </c>
      <c r="G94" s="114">
        <v>0</v>
      </c>
      <c r="H94" s="114">
        <v>0</v>
      </c>
      <c r="I94" s="143">
        <v>133.36000000000001</v>
      </c>
      <c r="J94" s="143">
        <v>200.04</v>
      </c>
      <c r="K94" s="143">
        <v>200.04</v>
      </c>
      <c r="L94" s="143">
        <v>200.04</v>
      </c>
      <c r="M94" s="143">
        <v>266.72000000000003</v>
      </c>
      <c r="N94" s="143">
        <v>240.8</v>
      </c>
      <c r="O94" s="143">
        <v>410.0800000000001</v>
      </c>
      <c r="P94" s="143">
        <v>512.6</v>
      </c>
      <c r="Q94" s="143">
        <v>358.40000000000003</v>
      </c>
      <c r="R94" s="143">
        <v>430.08</v>
      </c>
      <c r="S94" s="143">
        <v>537.60000000000014</v>
      </c>
      <c r="T94" s="143">
        <v>408.40000000000003</v>
      </c>
      <c r="U94" s="143">
        <v>510.5</v>
      </c>
      <c r="V94" s="143">
        <v>612.60000000000014</v>
      </c>
      <c r="W94" s="114">
        <v>200.04</v>
      </c>
      <c r="X94" s="114">
        <v>200.04</v>
      </c>
      <c r="Y94" s="114">
        <v>320.06400000000002</v>
      </c>
      <c r="Z94" s="114">
        <v>400.08</v>
      </c>
      <c r="AA94" s="143">
        <v>240.8</v>
      </c>
      <c r="AB94" s="143">
        <v>410.0800000000001</v>
      </c>
      <c r="AC94" s="143">
        <v>512.6</v>
      </c>
      <c r="AD94" s="143">
        <v>358.40000000000003</v>
      </c>
      <c r="AE94" s="114">
        <v>320.06400000000002</v>
      </c>
      <c r="AF94" s="114">
        <v>400.08</v>
      </c>
      <c r="AG94" s="142">
        <v>1250</v>
      </c>
      <c r="AH94" s="115"/>
      <c r="AI94" s="115"/>
      <c r="AJ94" s="115"/>
      <c r="AK94" s="115"/>
      <c r="AL94" s="115"/>
      <c r="AM94" s="115"/>
      <c r="AN94" s="115"/>
      <c r="AO94" s="115"/>
      <c r="AP94" s="115"/>
      <c r="AQ94" s="115"/>
      <c r="AR94" s="115"/>
      <c r="AS94" s="115"/>
      <c r="AT94" s="115"/>
      <c r="AU94" s="115"/>
      <c r="AV94" s="115"/>
      <c r="AW94" s="115"/>
      <c r="AX94" s="115"/>
      <c r="AY94" s="115"/>
      <c r="AZ94" s="115"/>
      <c r="BA94" s="115"/>
      <c r="BB94" s="115"/>
      <c r="BC94" s="115"/>
      <c r="BD94" s="115"/>
      <c r="BE94" s="115"/>
      <c r="BF94" s="115"/>
    </row>
    <row r="95" spans="2:58">
      <c r="B95" s="134" t="s">
        <v>164</v>
      </c>
      <c r="C95" s="110"/>
      <c r="D95" s="114"/>
      <c r="E95" s="114"/>
      <c r="F95" s="114"/>
      <c r="G95" s="114"/>
      <c r="H95" s="114"/>
      <c r="I95" s="114"/>
      <c r="J95" s="114"/>
      <c r="K95" s="114"/>
      <c r="L95" s="114"/>
      <c r="M95" s="114"/>
      <c r="N95" s="114"/>
      <c r="O95" s="114"/>
      <c r="P95" s="114"/>
      <c r="Q95" s="114"/>
      <c r="R95" s="114"/>
      <c r="S95" s="114"/>
      <c r="T95" s="114"/>
      <c r="U95" s="114"/>
      <c r="V95" s="114"/>
      <c r="W95" s="114"/>
      <c r="X95" s="114"/>
      <c r="Y95" s="114"/>
      <c r="Z95" s="114"/>
      <c r="AA95" s="114"/>
      <c r="AB95" s="114"/>
      <c r="AC95" s="114"/>
      <c r="AD95" s="114"/>
      <c r="AE95" s="114"/>
      <c r="AF95" s="114"/>
      <c r="AG95" s="114"/>
      <c r="AH95" s="115"/>
      <c r="AI95" s="115"/>
      <c r="AJ95" s="115"/>
      <c r="AK95" s="115"/>
      <c r="AL95" s="115"/>
      <c r="AM95" s="115"/>
      <c r="AN95" s="115"/>
      <c r="AO95" s="115"/>
      <c r="AP95" s="115"/>
      <c r="AQ95" s="115"/>
      <c r="AR95" s="115"/>
      <c r="AS95" s="115"/>
      <c r="AT95" s="115"/>
      <c r="AU95" s="115"/>
      <c r="AV95" s="115"/>
      <c r="AW95" s="115"/>
      <c r="AX95" s="115"/>
      <c r="AY95" s="115"/>
      <c r="AZ95" s="115"/>
      <c r="BA95" s="115"/>
      <c r="BB95" s="115"/>
      <c r="BC95" s="115"/>
      <c r="BD95" s="115"/>
      <c r="BE95" s="115"/>
      <c r="BF95" s="115"/>
    </row>
    <row r="96" spans="2:58">
      <c r="B96" s="116" t="s">
        <v>236</v>
      </c>
      <c r="C96" s="110" t="s">
        <v>7</v>
      </c>
      <c r="D96" s="114">
        <v>0</v>
      </c>
      <c r="E96" s="114">
        <v>0</v>
      </c>
      <c r="F96" s="114">
        <v>0</v>
      </c>
      <c r="G96" s="114">
        <v>0</v>
      </c>
      <c r="H96" s="114">
        <v>0</v>
      </c>
      <c r="I96" s="114">
        <v>0</v>
      </c>
      <c r="J96" s="114">
        <v>0</v>
      </c>
      <c r="K96" s="114">
        <v>0</v>
      </c>
      <c r="L96" s="114">
        <v>0</v>
      </c>
      <c r="M96" s="114">
        <v>0</v>
      </c>
      <c r="N96" s="114">
        <v>0</v>
      </c>
      <c r="O96" s="114">
        <v>0</v>
      </c>
      <c r="P96" s="114">
        <v>0</v>
      </c>
      <c r="Q96" s="114">
        <v>0</v>
      </c>
      <c r="R96" s="114">
        <v>0</v>
      </c>
      <c r="S96" s="114">
        <v>0</v>
      </c>
      <c r="T96" s="114">
        <v>0</v>
      </c>
      <c r="U96" s="114">
        <v>0</v>
      </c>
      <c r="V96" s="114">
        <v>0</v>
      </c>
      <c r="W96" s="114">
        <v>0</v>
      </c>
      <c r="X96" s="114">
        <v>0</v>
      </c>
      <c r="Y96" s="114">
        <v>0</v>
      </c>
      <c r="Z96" s="114">
        <v>0</v>
      </c>
      <c r="AA96" s="114">
        <v>0</v>
      </c>
      <c r="AB96" s="114">
        <v>0</v>
      </c>
      <c r="AC96" s="114">
        <v>0</v>
      </c>
      <c r="AD96" s="114">
        <v>0</v>
      </c>
      <c r="AE96" s="114">
        <v>0</v>
      </c>
      <c r="AF96" s="114">
        <v>0</v>
      </c>
      <c r="AG96" s="114">
        <v>0</v>
      </c>
      <c r="AH96" s="115"/>
      <c r="AI96" s="115"/>
      <c r="AJ96" s="115"/>
      <c r="AK96" s="115"/>
      <c r="AL96" s="115"/>
      <c r="AM96" s="115"/>
      <c r="AN96" s="115"/>
      <c r="AO96" s="115"/>
      <c r="AP96" s="115"/>
      <c r="AQ96" s="115"/>
      <c r="AR96" s="115"/>
      <c r="AS96" s="115"/>
      <c r="AT96" s="115"/>
      <c r="AU96" s="115"/>
      <c r="AV96" s="115"/>
      <c r="AW96" s="115"/>
      <c r="AX96" s="115"/>
      <c r="AY96" s="115"/>
      <c r="AZ96" s="115"/>
      <c r="BA96" s="115"/>
      <c r="BB96" s="115"/>
      <c r="BC96" s="115"/>
      <c r="BD96" s="115"/>
      <c r="BE96" s="115"/>
      <c r="BF96" s="115"/>
    </row>
    <row r="97" spans="2:58">
      <c r="B97" s="117"/>
      <c r="C97" s="110"/>
      <c r="D97" s="114"/>
      <c r="E97" s="114"/>
      <c r="F97" s="114"/>
      <c r="G97" s="114"/>
      <c r="H97" s="114"/>
      <c r="I97" s="114"/>
      <c r="J97" s="114"/>
      <c r="K97" s="114"/>
      <c r="L97" s="114"/>
      <c r="M97" s="114"/>
      <c r="N97" s="114"/>
      <c r="O97" s="114"/>
      <c r="P97" s="114"/>
      <c r="Q97" s="114"/>
      <c r="R97" s="114"/>
      <c r="S97" s="114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</row>
    <row r="98" spans="2:58"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  <c r="AA98" s="115"/>
      <c r="AB98" s="115"/>
      <c r="AC98" s="115"/>
      <c r="AD98" s="115"/>
      <c r="AE98" s="115"/>
      <c r="AF98" s="115"/>
      <c r="AG98" s="115"/>
      <c r="AH98" s="115"/>
      <c r="AI98" s="115"/>
      <c r="AJ98" s="115"/>
      <c r="AK98" s="115"/>
      <c r="AL98" s="115"/>
      <c r="AM98" s="115"/>
      <c r="AN98" s="115"/>
      <c r="AO98" s="115"/>
      <c r="AP98" s="115"/>
      <c r="AQ98" s="115"/>
      <c r="AR98" s="115"/>
      <c r="AS98" s="115"/>
      <c r="AT98" s="115"/>
      <c r="AU98" s="115"/>
      <c r="AV98" s="115"/>
      <c r="AW98" s="115"/>
      <c r="AX98" s="115"/>
      <c r="AY98" s="115"/>
      <c r="AZ98" s="115"/>
      <c r="BA98" s="115"/>
      <c r="BB98" s="115"/>
      <c r="BC98" s="115"/>
      <c r="BD98" s="115"/>
      <c r="BE98" s="115"/>
      <c r="BF98" s="115"/>
    </row>
    <row r="99" spans="2:58">
      <c r="B99" s="108" t="s">
        <v>162</v>
      </c>
    </row>
    <row r="100" spans="2:58">
      <c r="K100" s="108">
        <f>15*1667</f>
        <v>25005</v>
      </c>
    </row>
    <row r="102" spans="2:58">
      <c r="B102" s="135" t="s">
        <v>145</v>
      </c>
      <c r="D102" s="136"/>
      <c r="E102" s="136"/>
      <c r="F102" s="136"/>
      <c r="G102" s="136"/>
      <c r="H102" s="136"/>
    </row>
    <row r="103" spans="2:58">
      <c r="B103" s="137" t="s">
        <v>199</v>
      </c>
      <c r="C103" s="136"/>
      <c r="D103" s="136"/>
      <c r="E103" s="136"/>
      <c r="F103" s="136"/>
      <c r="G103" s="136"/>
      <c r="H103" s="136"/>
    </row>
    <row r="104" spans="2:58">
      <c r="B104" s="137" t="s">
        <v>146</v>
      </c>
    </row>
    <row r="107" spans="2:58">
      <c r="B107" s="137" t="s">
        <v>239</v>
      </c>
    </row>
    <row r="108" spans="2:58">
      <c r="B108" s="137" t="s">
        <v>240</v>
      </c>
    </row>
    <row r="109" spans="2:58">
      <c r="B109" s="137" t="s">
        <v>241</v>
      </c>
    </row>
  </sheetData>
  <pageMargins left="0.75" right="0.75" top="1" bottom="1" header="0.5" footer="0.5"/>
  <pageSetup paperSize="258"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00B050"/>
  </sheetPr>
  <dimension ref="B1:BK115"/>
  <sheetViews>
    <sheetView topLeftCell="A97" zoomScaleNormal="100" workbookViewId="0">
      <selection activeCell="H108" sqref="H108"/>
    </sheetView>
  </sheetViews>
  <sheetFormatPr defaultColWidth="9.109375" defaultRowHeight="13.2"/>
  <cols>
    <col min="1" max="1" width="2.5546875" style="82" customWidth="1"/>
    <col min="2" max="2" width="33.6640625" style="82" customWidth="1"/>
    <col min="3" max="3" width="18.88671875" style="82" bestFit="1" customWidth="1"/>
    <col min="4" max="4" width="9.88671875" style="82" bestFit="1" customWidth="1"/>
    <col min="5" max="5" width="9" style="82" bestFit="1" customWidth="1"/>
    <col min="6" max="6" width="9.88671875" style="82" bestFit="1" customWidth="1"/>
    <col min="7" max="7" width="9" style="82" bestFit="1" customWidth="1"/>
    <col min="8" max="8" width="9.88671875" style="82" bestFit="1" customWidth="1"/>
    <col min="9" max="11" width="10.6640625" style="82" bestFit="1" customWidth="1"/>
    <col min="12" max="12" width="12" style="82" bestFit="1" customWidth="1"/>
    <col min="13" max="13" width="10.6640625" style="82" bestFit="1" customWidth="1"/>
    <col min="14" max="17" width="12" style="82" bestFit="1" customWidth="1"/>
    <col min="18" max="18" width="9.88671875" style="82" bestFit="1" customWidth="1"/>
    <col min="19" max="21" width="9" style="82" bestFit="1" customWidth="1"/>
    <col min="22" max="22" width="9.88671875" style="82" bestFit="1" customWidth="1"/>
    <col min="23" max="25" width="10.6640625" style="82" bestFit="1" customWidth="1"/>
    <col min="26" max="26" width="12" style="82" bestFit="1" customWidth="1"/>
    <col min="27" max="27" width="10.6640625" style="82" bestFit="1" customWidth="1"/>
    <col min="28" max="31" width="12" style="82" bestFit="1" customWidth="1"/>
    <col min="32" max="33" width="9.33203125" style="82" bestFit="1" customWidth="1"/>
    <col min="34" max="16384" width="9.109375" style="82"/>
  </cols>
  <sheetData>
    <row r="1" spans="2:58" s="6" customFormat="1" ht="18">
      <c r="B1" s="3" t="s">
        <v>114</v>
      </c>
      <c r="C1" s="4"/>
      <c r="D1" s="5"/>
      <c r="E1" s="5"/>
    </row>
    <row r="2" spans="2:58" s="6" customFormat="1" ht="14.4">
      <c r="B2" s="6" t="s">
        <v>197</v>
      </c>
      <c r="C2" s="7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</row>
    <row r="3" spans="2:58" ht="17.399999999999999">
      <c r="B3" s="93" t="s">
        <v>126</v>
      </c>
      <c r="C3" s="41" t="s">
        <v>2</v>
      </c>
      <c r="D3" s="57" t="s">
        <v>45</v>
      </c>
      <c r="E3" s="57" t="s">
        <v>46</v>
      </c>
      <c r="F3" s="57" t="s">
        <v>47</v>
      </c>
      <c r="G3" s="57" t="s">
        <v>48</v>
      </c>
      <c r="H3" s="57" t="s">
        <v>49</v>
      </c>
      <c r="I3" s="57" t="s">
        <v>50</v>
      </c>
      <c r="J3" s="57" t="s">
        <v>51</v>
      </c>
      <c r="K3" s="57" t="s">
        <v>52</v>
      </c>
      <c r="L3" s="57" t="s">
        <v>53</v>
      </c>
      <c r="M3" s="57" t="s">
        <v>54</v>
      </c>
      <c r="N3" s="57" t="s">
        <v>55</v>
      </c>
      <c r="O3" s="57" t="s">
        <v>56</v>
      </c>
      <c r="P3" s="57" t="s">
        <v>57</v>
      </c>
      <c r="Q3" s="57" t="s">
        <v>58</v>
      </c>
      <c r="R3" s="57" t="s">
        <v>59</v>
      </c>
      <c r="S3" s="57" t="s">
        <v>60</v>
      </c>
      <c r="T3" s="57" t="s">
        <v>61</v>
      </c>
      <c r="U3" s="57" t="s">
        <v>62</v>
      </c>
      <c r="V3" s="57" t="s">
        <v>63</v>
      </c>
      <c r="W3" s="57" t="s">
        <v>64</v>
      </c>
      <c r="X3" s="57" t="s">
        <v>65</v>
      </c>
      <c r="Y3" s="57" t="s">
        <v>66</v>
      </c>
      <c r="Z3" s="57" t="s">
        <v>67</v>
      </c>
      <c r="AA3" s="57" t="s">
        <v>68</v>
      </c>
      <c r="AB3" s="57" t="s">
        <v>69</v>
      </c>
      <c r="AC3" s="57" t="s">
        <v>70</v>
      </c>
      <c r="AD3" s="57" t="s">
        <v>71</v>
      </c>
      <c r="AE3" s="57" t="s">
        <v>72</v>
      </c>
      <c r="AF3" s="57" t="s">
        <v>73</v>
      </c>
      <c r="AG3" s="57" t="s">
        <v>74</v>
      </c>
    </row>
    <row r="4" spans="2:58" ht="15.6">
      <c r="B4" s="58" t="s">
        <v>77</v>
      </c>
      <c r="C4" s="90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3"/>
      <c r="S4" s="83"/>
      <c r="T4" s="83"/>
      <c r="U4" s="83"/>
      <c r="V4" s="83"/>
      <c r="W4" s="83"/>
      <c r="X4" s="83"/>
      <c r="Y4" s="83"/>
      <c r="Z4" s="83"/>
      <c r="AA4" s="83"/>
      <c r="AB4" s="83"/>
      <c r="AC4" s="83"/>
      <c r="AD4" s="83"/>
      <c r="AE4" s="83"/>
      <c r="AF4" s="83"/>
      <c r="AG4" s="83"/>
    </row>
    <row r="5" spans="2:58">
      <c r="B5" s="60" t="s">
        <v>196</v>
      </c>
      <c r="C5" s="90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3"/>
      <c r="W5" s="83"/>
      <c r="X5" s="83"/>
      <c r="Y5" s="83"/>
      <c r="Z5" s="83"/>
      <c r="AA5" s="83"/>
      <c r="AB5" s="83"/>
      <c r="AC5" s="83"/>
      <c r="AD5" s="83"/>
      <c r="AE5" s="83"/>
      <c r="AF5" s="83"/>
      <c r="AG5" s="83"/>
    </row>
    <row r="6" spans="2:58">
      <c r="B6" s="59"/>
      <c r="C6" s="90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</row>
    <row r="7" spans="2:58">
      <c r="B7" s="60" t="s">
        <v>93</v>
      </c>
      <c r="C7" s="90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</row>
    <row r="8" spans="2:58">
      <c r="B8" s="72" t="s">
        <v>127</v>
      </c>
      <c r="C8" s="90" t="s">
        <v>2</v>
      </c>
      <c r="D8" s="84">
        <f>IO_CinnCoff!D8*Prices!$H$7</f>
        <v>25000</v>
      </c>
      <c r="E8" s="84">
        <f>IO_CinnCoff!E8*Prices!$H$7</f>
        <v>0</v>
      </c>
      <c r="F8" s="84">
        <f>IO_CinnCoff!F8*Prices!$H$7</f>
        <v>0</v>
      </c>
      <c r="G8" s="84">
        <f>IO_CinnCoff!G8*Prices!$H$7</f>
        <v>0</v>
      </c>
      <c r="H8" s="84">
        <f>IO_CinnCoff!H8*Prices!$H$7</f>
        <v>0</v>
      </c>
      <c r="I8" s="84">
        <f>IO_CinnCoff!I8*Prices!$H$7</f>
        <v>0</v>
      </c>
      <c r="J8" s="84">
        <f>IO_CinnCoff!J8*Prices!$H$7</f>
        <v>0</v>
      </c>
      <c r="K8" s="84">
        <f>IO_CinnCoff!K8*Prices!$H$7</f>
        <v>0</v>
      </c>
      <c r="L8" s="84">
        <f>IO_CinnCoff!L8*Prices!$H$7</f>
        <v>0</v>
      </c>
      <c r="M8" s="84">
        <f>IO_CinnCoff!M8*Prices!$H$7</f>
        <v>0</v>
      </c>
      <c r="N8" s="84">
        <f>IO_CinnCoff!N8*Prices!$H$7</f>
        <v>0</v>
      </c>
      <c r="O8" s="84">
        <f>IO_CinnCoff!O8*Prices!$H$7</f>
        <v>0</v>
      </c>
      <c r="P8" s="84">
        <f>IO_CinnCoff!P8*Prices!$H$7</f>
        <v>0</v>
      </c>
      <c r="Q8" s="84">
        <f>IO_CinnCoff!Q8*Prices!$H$7</f>
        <v>0</v>
      </c>
      <c r="R8" s="84">
        <f>IO_CinnCoff!R8*Prices!$H$7</f>
        <v>25000</v>
      </c>
      <c r="S8" s="84">
        <f>IO_CinnCoff!S8*Prices!$H$7</f>
        <v>0</v>
      </c>
      <c r="T8" s="84">
        <f>IO_CinnCoff!T8*Prices!$H$7</f>
        <v>0</v>
      </c>
      <c r="U8" s="84">
        <f>IO_CinnCoff!U8*Prices!$H$7</f>
        <v>0</v>
      </c>
      <c r="V8" s="84">
        <f>IO_CinnCoff!V8*Prices!$H$7</f>
        <v>0</v>
      </c>
      <c r="W8" s="84">
        <f>IO_CinnCoff!W8*Prices!$H$7</f>
        <v>0</v>
      </c>
      <c r="X8" s="84">
        <f>IO_CinnCoff!X8*Prices!$H$7</f>
        <v>0</v>
      </c>
      <c r="Y8" s="84">
        <f>IO_CinnCoff!Y8*Prices!$H$7</f>
        <v>0</v>
      </c>
      <c r="Z8" s="84">
        <f>IO_CinnCoff!Z8*Prices!$H$7</f>
        <v>0</v>
      </c>
      <c r="AA8" s="84">
        <f>IO_CinnCoff!AA8*Prices!$H$7</f>
        <v>0</v>
      </c>
      <c r="AB8" s="84">
        <f>IO_CinnCoff!AB8*Prices!$H$7</f>
        <v>0</v>
      </c>
      <c r="AC8" s="84">
        <f>IO_CinnCoff!AC8*Prices!$H$7</f>
        <v>0</v>
      </c>
      <c r="AD8" s="84">
        <f>IO_CinnCoff!AD8*Prices!$H$7</f>
        <v>0</v>
      </c>
      <c r="AE8" s="84">
        <f>IO_CinnCoff!AE8*Prices!$H$7</f>
        <v>0</v>
      </c>
      <c r="AF8" s="84">
        <f>IO_CinnCoff!AF8*Prices!$H$7</f>
        <v>0</v>
      </c>
      <c r="AG8" s="84">
        <f>IO_CinnCoff!AG8*Prices!$H$7</f>
        <v>0</v>
      </c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</row>
    <row r="9" spans="2:58">
      <c r="B9" s="72" t="s">
        <v>128</v>
      </c>
      <c r="C9" s="90" t="s">
        <v>2</v>
      </c>
      <c r="D9" s="84">
        <f>IO_CinnCoff!D9*Prices!$H$24</f>
        <v>30000</v>
      </c>
      <c r="E9" s="84">
        <f>IO_CinnCoff!E9*Prices!$H$24</f>
        <v>0</v>
      </c>
      <c r="F9" s="84">
        <f>IO_CinnCoff!F9*Prices!$H$24</f>
        <v>0</v>
      </c>
      <c r="G9" s="84">
        <f>IO_CinnCoff!G9*Prices!$H$24</f>
        <v>0</v>
      </c>
      <c r="H9" s="84">
        <f>IO_CinnCoff!H9*Prices!$H$24</f>
        <v>0</v>
      </c>
      <c r="I9" s="84">
        <f>IO_CinnCoff!I9*Prices!$H$24</f>
        <v>0</v>
      </c>
      <c r="J9" s="84">
        <f>IO_CinnCoff!J9*Prices!$H$24</f>
        <v>0</v>
      </c>
      <c r="K9" s="84">
        <f>IO_CinnCoff!K9*Prices!$H$24</f>
        <v>0</v>
      </c>
      <c r="L9" s="84">
        <f>IO_CinnCoff!L9*Prices!$H$24</f>
        <v>0</v>
      </c>
      <c r="M9" s="84">
        <f>IO_CinnCoff!M9*Prices!$H$24</f>
        <v>0</v>
      </c>
      <c r="N9" s="84">
        <f>IO_CinnCoff!N9*Prices!$H$24</f>
        <v>0</v>
      </c>
      <c r="O9" s="84">
        <f>IO_CinnCoff!O9*Prices!$H$24</f>
        <v>0</v>
      </c>
      <c r="P9" s="84">
        <f>IO_CinnCoff!P9*Prices!$H$24</f>
        <v>0</v>
      </c>
      <c r="Q9" s="84">
        <f>IO_CinnCoff!Q9*Prices!$H$24</f>
        <v>0</v>
      </c>
      <c r="R9" s="84">
        <f>IO_CinnCoff!R9*Prices!$H$24</f>
        <v>30000</v>
      </c>
      <c r="S9" s="84">
        <f>IO_CinnCoff!S9*Prices!$H$24</f>
        <v>0</v>
      </c>
      <c r="T9" s="84">
        <f>IO_CinnCoff!T9*Prices!$H$24</f>
        <v>0</v>
      </c>
      <c r="U9" s="84">
        <f>IO_CinnCoff!U9*Prices!$H$24</f>
        <v>0</v>
      </c>
      <c r="V9" s="84">
        <f>IO_CinnCoff!V9*Prices!$H$24</f>
        <v>0</v>
      </c>
      <c r="W9" s="84">
        <f>IO_CinnCoff!W9*Prices!$H$24</f>
        <v>0</v>
      </c>
      <c r="X9" s="84">
        <f>IO_CinnCoff!X9*Prices!$H$24</f>
        <v>0</v>
      </c>
      <c r="Y9" s="84">
        <f>IO_CinnCoff!Y9*Prices!$H$24</f>
        <v>0</v>
      </c>
      <c r="Z9" s="84">
        <f>IO_CinnCoff!Z9*Prices!$H$24</f>
        <v>0</v>
      </c>
      <c r="AA9" s="84">
        <f>IO_CinnCoff!AA9*Prices!$H$24</f>
        <v>0</v>
      </c>
      <c r="AB9" s="84">
        <f>IO_CinnCoff!AB9*Prices!$H$24</f>
        <v>0</v>
      </c>
      <c r="AC9" s="84">
        <f>IO_CinnCoff!AC9*Prices!$H$24</f>
        <v>0</v>
      </c>
      <c r="AD9" s="84">
        <f>IO_CinnCoff!AD9*Prices!$H$24</f>
        <v>0</v>
      </c>
      <c r="AE9" s="84">
        <f>IO_CinnCoff!AE9*Prices!$H$24</f>
        <v>0</v>
      </c>
      <c r="AF9" s="84">
        <f>IO_CinnCoff!AF9*Prices!$H$24</f>
        <v>0</v>
      </c>
      <c r="AG9" s="84">
        <f>IO_CinnCoff!AG9*Prices!$H$24</f>
        <v>0</v>
      </c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</row>
    <row r="10" spans="2:58">
      <c r="B10" s="72" t="s">
        <v>129</v>
      </c>
      <c r="C10" s="90" t="s">
        <v>2</v>
      </c>
      <c r="D10" s="84">
        <f>IO_CinnCoff!D10*Prices!$H$8</f>
        <v>50000</v>
      </c>
      <c r="E10" s="84">
        <f>IO_CinnCoff!E10*Prices!$H$8</f>
        <v>0</v>
      </c>
      <c r="F10" s="84">
        <f>IO_CinnCoff!F10*Prices!$H$8</f>
        <v>0</v>
      </c>
      <c r="G10" s="84">
        <f>IO_CinnCoff!G10*Prices!$H$8</f>
        <v>0</v>
      </c>
      <c r="H10" s="84">
        <f>IO_CinnCoff!H10*Prices!$H$8</f>
        <v>0</v>
      </c>
      <c r="I10" s="84">
        <f>IO_CinnCoff!I10*Prices!$H$8</f>
        <v>0</v>
      </c>
      <c r="J10" s="84">
        <f>IO_CinnCoff!J10*Prices!$H$8</f>
        <v>0</v>
      </c>
      <c r="K10" s="84">
        <f>IO_CinnCoff!K10*Prices!$H$8</f>
        <v>0</v>
      </c>
      <c r="L10" s="84">
        <f>IO_CinnCoff!L10*Prices!$H$8</f>
        <v>0</v>
      </c>
      <c r="M10" s="84">
        <f>IO_CinnCoff!M10*Prices!$H$8</f>
        <v>0</v>
      </c>
      <c r="N10" s="84">
        <f>IO_CinnCoff!N10*Prices!$H$8</f>
        <v>0</v>
      </c>
      <c r="O10" s="84">
        <f>IO_CinnCoff!O10*Prices!$H$8</f>
        <v>0</v>
      </c>
      <c r="P10" s="84">
        <f>IO_CinnCoff!P10*Prices!$H$8</f>
        <v>0</v>
      </c>
      <c r="Q10" s="84">
        <f>IO_CinnCoff!Q10*Prices!$H$8</f>
        <v>0</v>
      </c>
      <c r="R10" s="84">
        <f>IO_CinnCoff!R10*Prices!$H$8</f>
        <v>50000</v>
      </c>
      <c r="S10" s="84">
        <f>IO_CinnCoff!S10*Prices!$H$8</f>
        <v>0</v>
      </c>
      <c r="T10" s="84">
        <f>IO_CinnCoff!T10*Prices!$H$8</f>
        <v>0</v>
      </c>
      <c r="U10" s="84">
        <f>IO_CinnCoff!U10*Prices!$H$8</f>
        <v>0</v>
      </c>
      <c r="V10" s="84">
        <f>IO_CinnCoff!V10*Prices!$H$8</f>
        <v>0</v>
      </c>
      <c r="W10" s="84">
        <f>IO_CinnCoff!W10*Prices!$H$8</f>
        <v>0</v>
      </c>
      <c r="X10" s="84">
        <f>IO_CinnCoff!X10*Prices!$H$8</f>
        <v>0</v>
      </c>
      <c r="Y10" s="84">
        <f>IO_CinnCoff!Y10*Prices!$H$8</f>
        <v>0</v>
      </c>
      <c r="Z10" s="84">
        <f>IO_CinnCoff!Z10*Prices!$H$8</f>
        <v>0</v>
      </c>
      <c r="AA10" s="84">
        <f>IO_CinnCoff!AA10*Prices!$H$8</f>
        <v>0</v>
      </c>
      <c r="AB10" s="84">
        <f>IO_CinnCoff!AB10*Prices!$H$8</f>
        <v>0</v>
      </c>
      <c r="AC10" s="84">
        <f>IO_CinnCoff!AC10*Prices!$H$8</f>
        <v>0</v>
      </c>
      <c r="AD10" s="84">
        <f>IO_CinnCoff!AD10*Prices!$H$8</f>
        <v>0</v>
      </c>
      <c r="AE10" s="84">
        <f>IO_CinnCoff!AE10*Prices!$H$8</f>
        <v>0</v>
      </c>
      <c r="AF10" s="84">
        <f>IO_CinnCoff!AF10*Prices!$H$8</f>
        <v>0</v>
      </c>
      <c r="AG10" s="84">
        <f>IO_CinnCoff!AG10*Prices!$H$8</f>
        <v>0</v>
      </c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</row>
    <row r="11" spans="2:58">
      <c r="B11" s="72" t="s">
        <v>195</v>
      </c>
      <c r="C11" s="90" t="s">
        <v>2</v>
      </c>
      <c r="D11" s="84">
        <f>IO_CinnCoff!D11*Prices!$H$11</f>
        <v>20000</v>
      </c>
      <c r="E11" s="84">
        <f>IO_CinnCoff!E11*Prices!$H$11</f>
        <v>0</v>
      </c>
      <c r="F11" s="84">
        <f>IO_CinnCoff!F11*Prices!$H$11</f>
        <v>0</v>
      </c>
      <c r="G11" s="84">
        <f>IO_CinnCoff!G11*Prices!$H$11</f>
        <v>0</v>
      </c>
      <c r="H11" s="84">
        <f>IO_CinnCoff!H11*Prices!$H$11</f>
        <v>0</v>
      </c>
      <c r="I11" s="84">
        <f>IO_CinnCoff!I11*Prices!$H$11</f>
        <v>0</v>
      </c>
      <c r="J11" s="84">
        <f>IO_CinnCoff!J11*Prices!$H$11</f>
        <v>0</v>
      </c>
      <c r="K11" s="84">
        <f>IO_CinnCoff!K11*Prices!$H$11</f>
        <v>0</v>
      </c>
      <c r="L11" s="84">
        <f>IO_CinnCoff!L11*Prices!$H$11</f>
        <v>0</v>
      </c>
      <c r="M11" s="84">
        <f>IO_CinnCoff!M11*Prices!$H$11</f>
        <v>0</v>
      </c>
      <c r="N11" s="84">
        <f>IO_CinnCoff!N11*Prices!$H$11</f>
        <v>0</v>
      </c>
      <c r="O11" s="84">
        <f>IO_CinnCoff!O11*Prices!$H$11</f>
        <v>0</v>
      </c>
      <c r="P11" s="84">
        <f>IO_CinnCoff!P11*Prices!$H$11</f>
        <v>0</v>
      </c>
      <c r="Q11" s="84">
        <f>IO_CinnCoff!Q11*Prices!$H$11</f>
        <v>0</v>
      </c>
      <c r="R11" s="84">
        <f>IO_CinnCoff!R11*Prices!$H$11</f>
        <v>20000</v>
      </c>
      <c r="S11" s="84">
        <f>IO_CinnCoff!S11*Prices!$H$11</f>
        <v>0</v>
      </c>
      <c r="T11" s="84">
        <f>IO_CinnCoff!T11*Prices!$H$11</f>
        <v>0</v>
      </c>
      <c r="U11" s="84">
        <f>IO_CinnCoff!U11*Prices!$H$11</f>
        <v>0</v>
      </c>
      <c r="V11" s="84">
        <f>IO_CinnCoff!V11*Prices!$H$11</f>
        <v>0</v>
      </c>
      <c r="W11" s="84">
        <f>IO_CinnCoff!W11*Prices!$H$11</f>
        <v>0</v>
      </c>
      <c r="X11" s="84">
        <f>IO_CinnCoff!X11*Prices!$H$11</f>
        <v>0</v>
      </c>
      <c r="Y11" s="84">
        <f>IO_CinnCoff!Y11*Prices!$H$11</f>
        <v>0</v>
      </c>
      <c r="Z11" s="84">
        <f>IO_CinnCoff!Z11*Prices!$H$11</f>
        <v>0</v>
      </c>
      <c r="AA11" s="84">
        <f>IO_CinnCoff!AA11*Prices!$H$11</f>
        <v>0</v>
      </c>
      <c r="AB11" s="84">
        <f>IO_CinnCoff!AB11*Prices!$H$11</f>
        <v>0</v>
      </c>
      <c r="AC11" s="84">
        <f>IO_CinnCoff!AC11*Prices!$H$11</f>
        <v>0</v>
      </c>
      <c r="AD11" s="84">
        <f>IO_CinnCoff!AD11*Prices!$H$11</f>
        <v>0</v>
      </c>
      <c r="AE11" s="84">
        <f>IO_CinnCoff!AE11*Prices!$H$11</f>
        <v>0</v>
      </c>
      <c r="AF11" s="84">
        <f>IO_CinnCoff!AF11*Prices!$H$11</f>
        <v>0</v>
      </c>
      <c r="AG11" s="84">
        <f>IO_CinnCoff!AG11*Prices!$H$11</f>
        <v>0</v>
      </c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</row>
    <row r="12" spans="2:58">
      <c r="B12" s="72" t="s">
        <v>194</v>
      </c>
      <c r="C12" s="90" t="s">
        <v>2</v>
      </c>
      <c r="D12" s="84">
        <f>IO_CinnCoff!D12*Prices!$H$29</f>
        <v>0</v>
      </c>
      <c r="E12" s="84">
        <f>IO_CinnCoff!E12*Prices!$H$29</f>
        <v>0</v>
      </c>
      <c r="F12" s="84">
        <f>IO_CinnCoff!F12*Prices!$H$29</f>
        <v>0</v>
      </c>
      <c r="G12" s="84">
        <f>IO_CinnCoff!G12*Prices!$H$29</f>
        <v>0</v>
      </c>
      <c r="H12" s="84">
        <f>IO_CinnCoff!H12*Prices!$H$29</f>
        <v>0</v>
      </c>
      <c r="I12" s="84">
        <f>IO_CinnCoff!I12*Prices!$H$29</f>
        <v>0</v>
      </c>
      <c r="J12" s="84">
        <f>IO_CinnCoff!J12*Prices!$H$29</f>
        <v>0</v>
      </c>
      <c r="K12" s="84">
        <f>IO_CinnCoff!K12*Prices!$H$29</f>
        <v>0</v>
      </c>
      <c r="L12" s="84">
        <f>IO_CinnCoff!L12*Prices!$H$29</f>
        <v>0</v>
      </c>
      <c r="M12" s="84">
        <f>IO_CinnCoff!M12*Prices!$H$29</f>
        <v>0</v>
      </c>
      <c r="N12" s="84">
        <f>IO_CinnCoff!N12*Prices!$H$29</f>
        <v>0</v>
      </c>
      <c r="O12" s="84">
        <f>IO_CinnCoff!O12*Prices!$H$29</f>
        <v>0</v>
      </c>
      <c r="P12" s="84">
        <f>IO_CinnCoff!P12*Prices!$H$29</f>
        <v>0</v>
      </c>
      <c r="Q12" s="84">
        <f>IO_CinnCoff!Q12*Prices!$H$29</f>
        <v>0</v>
      </c>
      <c r="R12" s="84">
        <f>IO_CinnCoff!R12*Prices!$H$29</f>
        <v>0</v>
      </c>
      <c r="S12" s="84">
        <f>IO_CinnCoff!S12*Prices!$H$29</f>
        <v>0</v>
      </c>
      <c r="T12" s="84">
        <f>IO_CinnCoff!T12*Prices!$H$29</f>
        <v>0</v>
      </c>
      <c r="U12" s="84">
        <f>IO_CinnCoff!U12*Prices!$H$29</f>
        <v>0</v>
      </c>
      <c r="V12" s="84">
        <f>IO_CinnCoff!V12*Prices!$H$29</f>
        <v>0</v>
      </c>
      <c r="W12" s="84">
        <f>IO_CinnCoff!W12*Prices!$H$29</f>
        <v>0</v>
      </c>
      <c r="X12" s="84">
        <f>IO_CinnCoff!X12*Prices!$H$29</f>
        <v>0</v>
      </c>
      <c r="Y12" s="84">
        <f>IO_CinnCoff!Y12*Prices!$H$29</f>
        <v>0</v>
      </c>
      <c r="Z12" s="84">
        <f>IO_CinnCoff!Z12*Prices!$H$29</f>
        <v>0</v>
      </c>
      <c r="AA12" s="84">
        <f>IO_CinnCoff!AA12*Prices!$H$29</f>
        <v>0</v>
      </c>
      <c r="AB12" s="84">
        <f>IO_CinnCoff!AB12*Prices!$H$29</f>
        <v>0</v>
      </c>
      <c r="AC12" s="84">
        <f>IO_CinnCoff!AC12*Prices!$H$29</f>
        <v>0</v>
      </c>
      <c r="AD12" s="84">
        <f>IO_CinnCoff!AD12*Prices!$H$29</f>
        <v>0</v>
      </c>
      <c r="AE12" s="84">
        <f>IO_CinnCoff!AE12*Prices!$H$29</f>
        <v>0</v>
      </c>
      <c r="AF12" s="84">
        <f>IO_CinnCoff!AF12*Prices!$H$29</f>
        <v>0</v>
      </c>
      <c r="AG12" s="84">
        <f>IO_CinnCoff!AG12*Prices!$H$29</f>
        <v>0</v>
      </c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</row>
    <row r="13" spans="2:58">
      <c r="B13" s="72" t="s">
        <v>130</v>
      </c>
      <c r="C13" s="90" t="s">
        <v>2</v>
      </c>
      <c r="D13" s="84">
        <f>IO_CinnCoff!D13*Prices!$H$10</f>
        <v>0</v>
      </c>
      <c r="E13" s="84">
        <f>IO_CinnCoff!E13*Prices!$H$10</f>
        <v>0</v>
      </c>
      <c r="F13" s="84">
        <f>IO_CinnCoff!F13*Prices!$H$10</f>
        <v>0</v>
      </c>
      <c r="G13" s="84">
        <f>IO_CinnCoff!G13*Prices!$H$10</f>
        <v>0</v>
      </c>
      <c r="H13" s="84">
        <f>IO_CinnCoff!H13*Prices!$H$10</f>
        <v>0</v>
      </c>
      <c r="I13" s="84">
        <f>IO_CinnCoff!I13*Prices!$H$10</f>
        <v>0</v>
      </c>
      <c r="J13" s="84">
        <f>IO_CinnCoff!J13*Prices!$H$10</f>
        <v>0</v>
      </c>
      <c r="K13" s="84">
        <f>IO_CinnCoff!K13*Prices!$H$10</f>
        <v>0</v>
      </c>
      <c r="L13" s="84">
        <f>IO_CinnCoff!L13*Prices!$H$10</f>
        <v>0</v>
      </c>
      <c r="M13" s="84">
        <f>IO_CinnCoff!M13*Prices!$H$10</f>
        <v>0</v>
      </c>
      <c r="N13" s="84">
        <f>IO_CinnCoff!N13*Prices!$H$10</f>
        <v>0</v>
      </c>
      <c r="O13" s="84">
        <f>IO_CinnCoff!O13*Prices!$H$10</f>
        <v>0</v>
      </c>
      <c r="P13" s="84">
        <f>IO_CinnCoff!P13*Prices!$H$10</f>
        <v>0</v>
      </c>
      <c r="Q13" s="84">
        <f>IO_CinnCoff!Q13*Prices!$H$10</f>
        <v>0</v>
      </c>
      <c r="R13" s="84">
        <f>IO_CinnCoff!R13*Prices!$H$10</f>
        <v>0</v>
      </c>
      <c r="S13" s="84">
        <f>IO_CinnCoff!S13*Prices!$H$10</f>
        <v>0</v>
      </c>
      <c r="T13" s="84">
        <f>IO_CinnCoff!T13*Prices!$H$10</f>
        <v>0</v>
      </c>
      <c r="U13" s="84">
        <f>IO_CinnCoff!U13*Prices!$H$10</f>
        <v>0</v>
      </c>
      <c r="V13" s="84">
        <f>IO_CinnCoff!V13*Prices!$H$10</f>
        <v>0</v>
      </c>
      <c r="W13" s="84">
        <f>IO_CinnCoff!W13*Prices!$H$10</f>
        <v>0</v>
      </c>
      <c r="X13" s="84">
        <f>IO_CinnCoff!X13*Prices!$H$10</f>
        <v>0</v>
      </c>
      <c r="Y13" s="84">
        <f>IO_CinnCoff!Y13*Prices!$H$10</f>
        <v>0</v>
      </c>
      <c r="Z13" s="84">
        <f>IO_CinnCoff!Z13*Prices!$H$10</f>
        <v>0</v>
      </c>
      <c r="AA13" s="84">
        <f>IO_CinnCoff!AA13*Prices!$H$10</f>
        <v>0</v>
      </c>
      <c r="AB13" s="84">
        <f>IO_CinnCoff!AB13*Prices!$H$10</f>
        <v>0</v>
      </c>
      <c r="AC13" s="84">
        <f>IO_CinnCoff!AC13*Prices!$H$10</f>
        <v>0</v>
      </c>
      <c r="AD13" s="84">
        <f>IO_CinnCoff!AD13*Prices!$H$10</f>
        <v>0</v>
      </c>
      <c r="AE13" s="84">
        <f>IO_CinnCoff!AE13*Prices!$H$10</f>
        <v>0</v>
      </c>
      <c r="AF13" s="84">
        <f>IO_CinnCoff!AF13*Prices!$H$10</f>
        <v>0</v>
      </c>
      <c r="AG13" s="84">
        <f>IO_CinnCoff!AG13*Prices!$H$10</f>
        <v>0</v>
      </c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</row>
    <row r="14" spans="2:58">
      <c r="B14" s="59"/>
      <c r="C14" s="90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</row>
    <row r="15" spans="2:58">
      <c r="B15" s="60" t="s">
        <v>95</v>
      </c>
      <c r="C15" s="83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</row>
    <row r="16" spans="2:58">
      <c r="B16" s="72" t="s">
        <v>200</v>
      </c>
      <c r="C16" s="41" t="s">
        <v>7</v>
      </c>
      <c r="D16" s="84">
        <f>IO_CinnCoff!D16*Prices!$D$35</f>
        <v>0</v>
      </c>
      <c r="E16" s="84">
        <f>IO_CinnCoff!E16*Prices!$D$35</f>
        <v>0</v>
      </c>
      <c r="F16" s="84">
        <f>IO_CinnCoff!F16*Prices!$D$35</f>
        <v>0</v>
      </c>
      <c r="G16" s="84">
        <f>IO_CinnCoff!G16*Prices!$D$35</f>
        <v>0</v>
      </c>
      <c r="H16" s="84">
        <f>IO_CinnCoff!H16*Prices!$D$35</f>
        <v>0</v>
      </c>
      <c r="I16" s="84">
        <f>IO_CinnCoff!I16*Prices!$D$35</f>
        <v>0</v>
      </c>
      <c r="J16" s="84">
        <f>IO_CinnCoff!J16*Prices!$D$35</f>
        <v>0</v>
      </c>
      <c r="K16" s="84">
        <f>IO_CinnCoff!K16*Prices!$D$35</f>
        <v>0</v>
      </c>
      <c r="L16" s="84">
        <f>IO_CinnCoff!L16*Prices!$D$35</f>
        <v>0</v>
      </c>
      <c r="M16" s="84">
        <f>IO_CinnCoff!M16*Prices!$D$35</f>
        <v>0</v>
      </c>
      <c r="N16" s="84">
        <f>IO_CinnCoff!N16*Prices!$D$35</f>
        <v>0</v>
      </c>
      <c r="O16" s="84">
        <f>IO_CinnCoff!O16*Prices!$D$35</f>
        <v>0</v>
      </c>
      <c r="P16" s="84">
        <f>IO_CinnCoff!P16*Prices!$D$35</f>
        <v>0</v>
      </c>
      <c r="Q16" s="84">
        <f>IO_CinnCoff!Q16*Prices!$D$35</f>
        <v>0</v>
      </c>
      <c r="R16" s="84">
        <f>IO_CinnCoff!R16*Prices!$D$35</f>
        <v>0</v>
      </c>
      <c r="S16" s="84">
        <f>IO_CinnCoff!S16*Prices!$D$35</f>
        <v>0</v>
      </c>
      <c r="T16" s="84">
        <f>IO_CinnCoff!T16*Prices!$D$35</f>
        <v>0</v>
      </c>
      <c r="U16" s="84">
        <f>IO_CinnCoff!U16*Prices!$D$35</f>
        <v>0</v>
      </c>
      <c r="V16" s="84">
        <f>IO_CinnCoff!V16*Prices!$D$35</f>
        <v>0</v>
      </c>
      <c r="W16" s="84">
        <f>IO_CinnCoff!W16*Prices!$D$35</f>
        <v>0</v>
      </c>
      <c r="X16" s="84">
        <f>IO_CinnCoff!X16*Prices!$D$35</f>
        <v>0</v>
      </c>
      <c r="Y16" s="84">
        <f>IO_CinnCoff!Y16*Prices!$D$35</f>
        <v>0</v>
      </c>
      <c r="Z16" s="84">
        <f>IO_CinnCoff!Z16*Prices!$D$35</f>
        <v>0</v>
      </c>
      <c r="AA16" s="84">
        <f>IO_CinnCoff!AA16*Prices!$D$35</f>
        <v>0</v>
      </c>
      <c r="AB16" s="84">
        <f>IO_CinnCoff!AB16*Prices!$D$35</f>
        <v>0</v>
      </c>
      <c r="AC16" s="84">
        <f>IO_CinnCoff!AC16*Prices!$D$35</f>
        <v>0</v>
      </c>
      <c r="AD16" s="84">
        <f>IO_CinnCoff!AD16*Prices!$D$35</f>
        <v>0</v>
      </c>
      <c r="AE16" s="84">
        <f>IO_CinnCoff!AE16*Prices!$D$35</f>
        <v>0</v>
      </c>
      <c r="AF16" s="84">
        <f>IO_CinnCoff!AF16*Prices!$D$35</f>
        <v>0</v>
      </c>
      <c r="AG16" s="84">
        <f>IO_CinnCoff!AG16*Prices!$D$35</f>
        <v>0</v>
      </c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</row>
    <row r="17" spans="2:58">
      <c r="B17" s="72" t="s">
        <v>131</v>
      </c>
      <c r="C17" s="57" t="s">
        <v>132</v>
      </c>
      <c r="D17" s="84">
        <f>IO_CinnCoff!D17*Prices!$D$34</f>
        <v>4167500</v>
      </c>
      <c r="E17" s="84">
        <f>IO_CinnCoff!E17*Prices!$D$34</f>
        <v>0</v>
      </c>
      <c r="F17" s="84">
        <f>IO_CinnCoff!F17*Prices!$D$34</f>
        <v>0</v>
      </c>
      <c r="G17" s="84">
        <f>IO_CinnCoff!G17*Prices!$D$34</f>
        <v>0</v>
      </c>
      <c r="H17" s="84">
        <f>IO_CinnCoff!H17*Prices!$D$34</f>
        <v>0</v>
      </c>
      <c r="I17" s="84">
        <f>IO_CinnCoff!I17*Prices!$D$34</f>
        <v>0</v>
      </c>
      <c r="J17" s="84">
        <f>IO_CinnCoff!J17*Prices!$D$34</f>
        <v>0</v>
      </c>
      <c r="K17" s="84">
        <f>IO_CinnCoff!K17*Prices!$D$34</f>
        <v>0</v>
      </c>
      <c r="L17" s="84">
        <f>IO_CinnCoff!L17*Prices!$D$34</f>
        <v>0</v>
      </c>
      <c r="M17" s="84">
        <f>IO_CinnCoff!M17*Prices!$D$34</f>
        <v>0</v>
      </c>
      <c r="N17" s="84">
        <f>IO_CinnCoff!N17*Prices!$D$34</f>
        <v>0</v>
      </c>
      <c r="O17" s="84">
        <f>IO_CinnCoff!O17*Prices!$D$34</f>
        <v>0</v>
      </c>
      <c r="P17" s="84">
        <f>IO_CinnCoff!P17*Prices!$D$34</f>
        <v>0</v>
      </c>
      <c r="Q17" s="84">
        <f>IO_CinnCoff!Q17*Prices!$D$34</f>
        <v>0</v>
      </c>
      <c r="R17" s="84">
        <f>IO_CinnCoff!R17*Prices!$D$34</f>
        <v>0</v>
      </c>
      <c r="S17" s="84">
        <f>IO_CinnCoff!S17*Prices!$D$34</f>
        <v>0</v>
      </c>
      <c r="T17" s="84">
        <f>IO_CinnCoff!T17*Prices!$D$34</f>
        <v>1562500</v>
      </c>
      <c r="U17" s="84">
        <f>IO_CinnCoff!U17*Prices!$D$34</f>
        <v>0</v>
      </c>
      <c r="V17" s="84">
        <f>IO_CinnCoff!V17*Prices!$D$34</f>
        <v>0</v>
      </c>
      <c r="W17" s="84">
        <f>IO_CinnCoff!W17*Prices!$D$34</f>
        <v>0</v>
      </c>
      <c r="X17" s="84">
        <f>IO_CinnCoff!X17*Prices!$D$34</f>
        <v>0</v>
      </c>
      <c r="Y17" s="84">
        <f>IO_CinnCoff!Y17*Prices!$D$34</f>
        <v>0</v>
      </c>
      <c r="Z17" s="84">
        <f>IO_CinnCoff!Z17*Prices!$D$34</f>
        <v>0</v>
      </c>
      <c r="AA17" s="84">
        <f>IO_CinnCoff!AA17*Prices!$D$34</f>
        <v>0</v>
      </c>
      <c r="AB17" s="84">
        <f>IO_CinnCoff!AB17*Prices!$D$34</f>
        <v>0</v>
      </c>
      <c r="AC17" s="84">
        <f>IO_CinnCoff!AC17*Prices!$D$34</f>
        <v>0</v>
      </c>
      <c r="AD17" s="84">
        <f>IO_CinnCoff!AD17*Prices!$D$34</f>
        <v>0</v>
      </c>
      <c r="AE17" s="84">
        <f>IO_CinnCoff!AE17*Prices!$D$34</f>
        <v>0</v>
      </c>
      <c r="AF17" s="84">
        <f>IO_CinnCoff!AF17*Prices!$D$34</f>
        <v>0</v>
      </c>
      <c r="AG17" s="84">
        <f>IO_CinnCoff!AG17*Prices!$D$34</f>
        <v>0</v>
      </c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</row>
    <row r="18" spans="2:58">
      <c r="B18" s="72" t="s">
        <v>163</v>
      </c>
      <c r="C18" s="57" t="s">
        <v>193</v>
      </c>
      <c r="D18" s="84">
        <f>IO_CinnCoff!D18*Prices!$D$36</f>
        <v>0</v>
      </c>
      <c r="E18" s="84">
        <f>IO_CinnCoff!E18*Prices!$D$36</f>
        <v>0</v>
      </c>
      <c r="F18" s="84">
        <f>IO_CinnCoff!F18*Prices!$D$36</f>
        <v>0</v>
      </c>
      <c r="G18" s="84">
        <f>IO_CinnCoff!G18*Prices!$D$36</f>
        <v>0</v>
      </c>
      <c r="H18" s="84">
        <f>IO_CinnCoff!H18*Prices!$D$36</f>
        <v>0</v>
      </c>
      <c r="I18" s="84">
        <f>IO_CinnCoff!I18*Prices!$D$36</f>
        <v>0</v>
      </c>
      <c r="J18" s="84">
        <f>IO_CinnCoff!J18*Prices!$D$36</f>
        <v>0</v>
      </c>
      <c r="K18" s="84">
        <f>IO_CinnCoff!K18*Prices!$D$36</f>
        <v>0</v>
      </c>
      <c r="L18" s="84">
        <f>IO_CinnCoff!L18*Prices!$D$36</f>
        <v>0</v>
      </c>
      <c r="M18" s="84">
        <f>IO_CinnCoff!M18*Prices!$D$36</f>
        <v>0</v>
      </c>
      <c r="N18" s="84">
        <f>IO_CinnCoff!N18*Prices!$D$36</f>
        <v>0</v>
      </c>
      <c r="O18" s="84">
        <f>IO_CinnCoff!O18*Prices!$D$36</f>
        <v>0</v>
      </c>
      <c r="P18" s="84">
        <f>IO_CinnCoff!P18*Prices!$D$36</f>
        <v>0</v>
      </c>
      <c r="Q18" s="84">
        <f>IO_CinnCoff!Q18*Prices!$D$36</f>
        <v>0</v>
      </c>
      <c r="R18" s="84">
        <f>IO_CinnCoff!R18*Prices!$D$36</f>
        <v>0</v>
      </c>
      <c r="S18" s="84">
        <f>IO_CinnCoff!S18*Prices!$D$36</f>
        <v>0</v>
      </c>
      <c r="T18" s="84">
        <f>IO_CinnCoff!T18*Prices!$D$36</f>
        <v>0</v>
      </c>
      <c r="U18" s="84">
        <f>IO_CinnCoff!U18*Prices!$D$36</f>
        <v>0</v>
      </c>
      <c r="V18" s="84">
        <f>IO_CinnCoff!V18*Prices!$D$36</f>
        <v>0</v>
      </c>
      <c r="W18" s="84">
        <f>IO_CinnCoff!W18*Prices!$D$36</f>
        <v>0</v>
      </c>
      <c r="X18" s="84">
        <f>IO_CinnCoff!X18*Prices!$D$36</f>
        <v>0</v>
      </c>
      <c r="Y18" s="84">
        <f>IO_CinnCoff!Y18*Prices!$D$36</f>
        <v>0</v>
      </c>
      <c r="Z18" s="84">
        <f>IO_CinnCoff!Z18*Prices!$D$36</f>
        <v>0</v>
      </c>
      <c r="AA18" s="84">
        <f>IO_CinnCoff!AA18*Prices!$D$36</f>
        <v>0</v>
      </c>
      <c r="AB18" s="84">
        <f>IO_CinnCoff!AB18*Prices!$D$36</f>
        <v>0</v>
      </c>
      <c r="AC18" s="84">
        <f>IO_CinnCoff!AC18*Prices!$D$36</f>
        <v>0</v>
      </c>
      <c r="AD18" s="84">
        <f>IO_CinnCoff!AD18*Prices!$D$36</f>
        <v>0</v>
      </c>
      <c r="AE18" s="84">
        <f>IO_CinnCoff!AE18*Prices!$D$36</f>
        <v>0</v>
      </c>
      <c r="AF18" s="84">
        <f>IO_CinnCoff!AF18*Prices!$D$36</f>
        <v>0</v>
      </c>
      <c r="AG18" s="84">
        <f>IO_CinnCoff!AG18*Prices!$D$36</f>
        <v>0</v>
      </c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</row>
    <row r="19" spans="2:58">
      <c r="B19" s="61"/>
      <c r="C19" s="57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</row>
    <row r="20" spans="2:58" ht="15.6">
      <c r="B20" s="58" t="s">
        <v>82</v>
      </c>
      <c r="C20" s="41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</row>
    <row r="21" spans="2:58">
      <c r="B21" s="60" t="s">
        <v>133</v>
      </c>
      <c r="C21" s="90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</row>
    <row r="22" spans="2:58">
      <c r="B22" s="72" t="s">
        <v>192</v>
      </c>
      <c r="C22" s="90" t="s">
        <v>110</v>
      </c>
      <c r="D22" s="84">
        <f>IO_CinnCoff!D22*Summary!$C$9</f>
        <v>2100000</v>
      </c>
      <c r="E22" s="84">
        <f>IO_CinnCoff!E22*Summary!$C$9</f>
        <v>0</v>
      </c>
      <c r="F22" s="84">
        <f>IO_CinnCoff!F22*Summary!$C$9</f>
        <v>0</v>
      </c>
      <c r="G22" s="84">
        <f>IO_CinnCoff!G22*Summary!$C$9</f>
        <v>0</v>
      </c>
      <c r="H22" s="84">
        <f>IO_CinnCoff!H22*Summary!$C$9</f>
        <v>0</v>
      </c>
      <c r="I22" s="84">
        <f>IO_CinnCoff!I22*Summary!$C$9</f>
        <v>0</v>
      </c>
      <c r="J22" s="84">
        <f>IO_CinnCoff!J22*Summary!$C$9</f>
        <v>0</v>
      </c>
      <c r="K22" s="84">
        <f>IO_CinnCoff!K22*Summary!$C$9</f>
        <v>0</v>
      </c>
      <c r="L22" s="84">
        <f>IO_CinnCoff!L22*Summary!$C$9</f>
        <v>0</v>
      </c>
      <c r="M22" s="84">
        <f>IO_CinnCoff!M22*Summary!$C$9</f>
        <v>0</v>
      </c>
      <c r="N22" s="84">
        <f>IO_CinnCoff!N22*Summary!$C$9</f>
        <v>0</v>
      </c>
      <c r="O22" s="84">
        <f>IO_CinnCoff!O22*Summary!$C$9</f>
        <v>0</v>
      </c>
      <c r="P22" s="84">
        <f>IO_CinnCoff!P22*Summary!$C$9</f>
        <v>0</v>
      </c>
      <c r="Q22" s="84">
        <f>IO_CinnCoff!Q22*Summary!$C$9</f>
        <v>0</v>
      </c>
      <c r="R22" s="84">
        <f>IO_CinnCoff!R22*Summary!$C$9</f>
        <v>1050000</v>
      </c>
      <c r="S22" s="84">
        <f>IO_CinnCoff!S22*Summary!$C$9</f>
        <v>0</v>
      </c>
      <c r="T22" s="84">
        <f>IO_CinnCoff!T22*Summary!$C$9</f>
        <v>0</v>
      </c>
      <c r="U22" s="84">
        <f>IO_CinnCoff!U22*Summary!$C$9</f>
        <v>0</v>
      </c>
      <c r="V22" s="84">
        <f>IO_CinnCoff!V22*Summary!$C$9</f>
        <v>0</v>
      </c>
      <c r="W22" s="84">
        <f>IO_CinnCoff!W22*Summary!$C$9</f>
        <v>0</v>
      </c>
      <c r="X22" s="84">
        <f>IO_CinnCoff!X22*Summary!$C$9</f>
        <v>0</v>
      </c>
      <c r="Y22" s="84">
        <f>IO_CinnCoff!Y22*Summary!$C$9</f>
        <v>0</v>
      </c>
      <c r="Z22" s="84">
        <f>IO_CinnCoff!Z22*Summary!$C$9</f>
        <v>0</v>
      </c>
      <c r="AA22" s="84">
        <f>IO_CinnCoff!AA22*Summary!$C$9</f>
        <v>0</v>
      </c>
      <c r="AB22" s="84">
        <f>IO_CinnCoff!AB22*Summary!$C$9</f>
        <v>0</v>
      </c>
      <c r="AC22" s="84">
        <f>IO_CinnCoff!AC22*Summary!$C$9</f>
        <v>0</v>
      </c>
      <c r="AD22" s="84">
        <f>IO_CinnCoff!AD22*Summary!$C$9</f>
        <v>0</v>
      </c>
      <c r="AE22" s="84">
        <f>IO_CinnCoff!AE22*Summary!$C$9</f>
        <v>0</v>
      </c>
      <c r="AF22" s="84">
        <f>IO_CinnCoff!AF22*Summary!$C$9</f>
        <v>0</v>
      </c>
      <c r="AG22" s="84">
        <f>IO_CinnCoff!AG22*Summary!$C$9</f>
        <v>0</v>
      </c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</row>
    <row r="23" spans="2:58">
      <c r="B23" s="72" t="s">
        <v>191</v>
      </c>
      <c r="C23" s="90" t="s">
        <v>110</v>
      </c>
      <c r="D23" s="84">
        <f>IO_CinnCoff!D23*Summary!$C$9</f>
        <v>35000</v>
      </c>
      <c r="E23" s="84">
        <f>IO_CinnCoff!E23*Summary!$C$9</f>
        <v>0</v>
      </c>
      <c r="F23" s="84">
        <f>IO_CinnCoff!F23*Summary!$C$9</f>
        <v>0</v>
      </c>
      <c r="G23" s="84">
        <f>IO_CinnCoff!G23*Summary!$C$9</f>
        <v>0</v>
      </c>
      <c r="H23" s="84">
        <f>IO_CinnCoff!H23*Summary!$C$9</f>
        <v>0</v>
      </c>
      <c r="I23" s="84">
        <f>IO_CinnCoff!I23*Summary!$C$9</f>
        <v>0</v>
      </c>
      <c r="J23" s="84">
        <f>IO_CinnCoff!J23*Summary!$C$9</f>
        <v>0</v>
      </c>
      <c r="K23" s="84">
        <f>IO_CinnCoff!K23*Summary!$C$9</f>
        <v>0</v>
      </c>
      <c r="L23" s="84">
        <f>IO_CinnCoff!L23*Summary!$C$9</f>
        <v>0</v>
      </c>
      <c r="M23" s="84">
        <f>IO_CinnCoff!M23*Summary!$C$9</f>
        <v>0</v>
      </c>
      <c r="N23" s="84">
        <f>IO_CinnCoff!N23*Summary!$C$9</f>
        <v>0</v>
      </c>
      <c r="O23" s="84">
        <f>IO_CinnCoff!O23*Summary!$C$9</f>
        <v>0</v>
      </c>
      <c r="P23" s="84">
        <f>IO_CinnCoff!P23*Summary!$C$9</f>
        <v>0</v>
      </c>
      <c r="Q23" s="84">
        <f>IO_CinnCoff!Q23*Summary!$C$9</f>
        <v>0</v>
      </c>
      <c r="R23" s="84">
        <f>IO_CinnCoff!R23*Summary!$C$9</f>
        <v>35000</v>
      </c>
      <c r="S23" s="84">
        <f>IO_CinnCoff!S23*Summary!$C$9</f>
        <v>0</v>
      </c>
      <c r="T23" s="84">
        <f>IO_CinnCoff!T23*Summary!$C$9</f>
        <v>0</v>
      </c>
      <c r="U23" s="84">
        <f>IO_CinnCoff!U23*Summary!$C$9</f>
        <v>0</v>
      </c>
      <c r="V23" s="84">
        <f>IO_CinnCoff!V23*Summary!$C$9</f>
        <v>0</v>
      </c>
      <c r="W23" s="84">
        <f>IO_CinnCoff!W23*Summary!$C$9</f>
        <v>0</v>
      </c>
      <c r="X23" s="84">
        <f>IO_CinnCoff!X23*Summary!$C$9</f>
        <v>0</v>
      </c>
      <c r="Y23" s="84">
        <f>IO_CinnCoff!Y23*Summary!$C$9</f>
        <v>0</v>
      </c>
      <c r="Z23" s="84">
        <f>IO_CinnCoff!Z23*Summary!$C$9</f>
        <v>0</v>
      </c>
      <c r="AA23" s="84">
        <f>IO_CinnCoff!AA23*Summary!$C$9</f>
        <v>0</v>
      </c>
      <c r="AB23" s="84">
        <f>IO_CinnCoff!AB23*Summary!$C$9</f>
        <v>0</v>
      </c>
      <c r="AC23" s="84">
        <f>IO_CinnCoff!AC23*Summary!$C$9</f>
        <v>0</v>
      </c>
      <c r="AD23" s="84">
        <f>IO_CinnCoff!AD23*Summary!$C$9</f>
        <v>0</v>
      </c>
      <c r="AE23" s="84">
        <f>IO_CinnCoff!AE23*Summary!$C$9</f>
        <v>0</v>
      </c>
      <c r="AF23" s="84">
        <f>IO_CinnCoff!AF23*Summary!$C$9</f>
        <v>0</v>
      </c>
      <c r="AG23" s="84">
        <f>IO_CinnCoff!AG23*Summary!$C$9</f>
        <v>0</v>
      </c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</row>
    <row r="24" spans="2:58">
      <c r="B24" s="72" t="s">
        <v>190</v>
      </c>
      <c r="C24" s="90" t="s">
        <v>110</v>
      </c>
      <c r="D24" s="84">
        <f>IO_CinnCoff!D24*Summary!$C$9</f>
        <v>980000</v>
      </c>
      <c r="E24" s="84">
        <f>IO_CinnCoff!E24*Summary!$C$9</f>
        <v>0</v>
      </c>
      <c r="F24" s="84">
        <f>IO_CinnCoff!F24*Summary!$C$9</f>
        <v>0</v>
      </c>
      <c r="G24" s="84">
        <f>IO_CinnCoff!G24*Summary!$C$9</f>
        <v>0</v>
      </c>
      <c r="H24" s="84">
        <f>IO_CinnCoff!H24*Summary!$C$9</f>
        <v>0</v>
      </c>
      <c r="I24" s="84">
        <f>IO_CinnCoff!I24*Summary!$C$9</f>
        <v>0</v>
      </c>
      <c r="J24" s="84">
        <f>IO_CinnCoff!J24*Summary!$C$9</f>
        <v>0</v>
      </c>
      <c r="K24" s="84">
        <f>IO_CinnCoff!K24*Summary!$C$9</f>
        <v>0</v>
      </c>
      <c r="L24" s="84">
        <f>IO_CinnCoff!L24*Summary!$C$9</f>
        <v>0</v>
      </c>
      <c r="M24" s="84">
        <f>IO_CinnCoff!M24*Summary!$C$9</f>
        <v>0</v>
      </c>
      <c r="N24" s="84">
        <f>IO_CinnCoff!N24*Summary!$C$9</f>
        <v>0</v>
      </c>
      <c r="O24" s="84">
        <f>IO_CinnCoff!O24*Summary!$C$9</f>
        <v>0</v>
      </c>
      <c r="P24" s="84">
        <f>IO_CinnCoff!P24*Summary!$C$9</f>
        <v>0</v>
      </c>
      <c r="Q24" s="84">
        <f>IO_CinnCoff!Q24*Summary!$C$9</f>
        <v>0</v>
      </c>
      <c r="R24" s="84">
        <f>IO_CinnCoff!R24*Summary!$C$9</f>
        <v>490000</v>
      </c>
      <c r="S24" s="84">
        <f>IO_CinnCoff!S24*Summary!$C$9</f>
        <v>0</v>
      </c>
      <c r="T24" s="84">
        <f>IO_CinnCoff!T24*Summary!$C$9</f>
        <v>0</v>
      </c>
      <c r="U24" s="84">
        <f>IO_CinnCoff!U24*Summary!$C$9</f>
        <v>0</v>
      </c>
      <c r="V24" s="84">
        <f>IO_CinnCoff!V24*Summary!$C$9</f>
        <v>0</v>
      </c>
      <c r="W24" s="84">
        <f>IO_CinnCoff!W24*Summary!$C$9</f>
        <v>0</v>
      </c>
      <c r="X24" s="84">
        <f>IO_CinnCoff!X24*Summary!$C$9</f>
        <v>0</v>
      </c>
      <c r="Y24" s="84">
        <f>IO_CinnCoff!Y24*Summary!$C$9</f>
        <v>0</v>
      </c>
      <c r="Z24" s="84">
        <f>IO_CinnCoff!Z24*Summary!$C$9</f>
        <v>0</v>
      </c>
      <c r="AA24" s="84">
        <f>IO_CinnCoff!AA24*Summary!$C$9</f>
        <v>0</v>
      </c>
      <c r="AB24" s="84">
        <f>IO_CinnCoff!AB24*Summary!$C$9</f>
        <v>0</v>
      </c>
      <c r="AC24" s="84">
        <f>IO_CinnCoff!AC24*Summary!$C$9</f>
        <v>0</v>
      </c>
      <c r="AD24" s="84">
        <f>IO_CinnCoff!AD24*Summary!$C$9</f>
        <v>0</v>
      </c>
      <c r="AE24" s="84">
        <f>IO_CinnCoff!AE24*Summary!$C$9</f>
        <v>0</v>
      </c>
      <c r="AF24" s="84">
        <f>IO_CinnCoff!AF24*Summary!$C$9</f>
        <v>0</v>
      </c>
      <c r="AG24" s="84">
        <f>IO_CinnCoff!AG24*Summary!$C$9</f>
        <v>0</v>
      </c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</row>
    <row r="25" spans="2:58">
      <c r="B25" s="72" t="s">
        <v>189</v>
      </c>
      <c r="C25" s="90" t="s">
        <v>110</v>
      </c>
      <c r="D25" s="84">
        <f>IO_CinnCoff!D25*Summary!$C$9</f>
        <v>5600000</v>
      </c>
      <c r="E25" s="84">
        <f>IO_CinnCoff!E25*Summary!$C$9</f>
        <v>0</v>
      </c>
      <c r="F25" s="84">
        <f>IO_CinnCoff!F25*Summary!$C$9</f>
        <v>0</v>
      </c>
      <c r="G25" s="84">
        <f>IO_CinnCoff!G25*Summary!$C$9</f>
        <v>0</v>
      </c>
      <c r="H25" s="84">
        <f>IO_CinnCoff!H25*Summary!$C$9</f>
        <v>0</v>
      </c>
      <c r="I25" s="84">
        <f>IO_CinnCoff!I25*Summary!$C$9</f>
        <v>0</v>
      </c>
      <c r="J25" s="84">
        <f>IO_CinnCoff!J25*Summary!$C$9</f>
        <v>0</v>
      </c>
      <c r="K25" s="84">
        <f>IO_CinnCoff!K25*Summary!$C$9</f>
        <v>0</v>
      </c>
      <c r="L25" s="84">
        <f>IO_CinnCoff!L25*Summary!$C$9</f>
        <v>0</v>
      </c>
      <c r="M25" s="84">
        <f>IO_CinnCoff!M25*Summary!$C$9</f>
        <v>0</v>
      </c>
      <c r="N25" s="84">
        <f>IO_CinnCoff!N25*Summary!$C$9</f>
        <v>0</v>
      </c>
      <c r="O25" s="84">
        <f>IO_CinnCoff!O25*Summary!$C$9</f>
        <v>0</v>
      </c>
      <c r="P25" s="84">
        <f>IO_CinnCoff!P25*Summary!$C$9</f>
        <v>0</v>
      </c>
      <c r="Q25" s="84">
        <f>IO_CinnCoff!Q25*Summary!$C$9</f>
        <v>0</v>
      </c>
      <c r="R25" s="84">
        <f>IO_CinnCoff!R25*Summary!$C$9</f>
        <v>5600000</v>
      </c>
      <c r="S25" s="84">
        <f>IO_CinnCoff!S25*Summary!$C$9</f>
        <v>0</v>
      </c>
      <c r="T25" s="84">
        <f>IO_CinnCoff!T25*Summary!$C$9</f>
        <v>0</v>
      </c>
      <c r="U25" s="84">
        <f>IO_CinnCoff!U25*Summary!$C$9</f>
        <v>0</v>
      </c>
      <c r="V25" s="84">
        <f>IO_CinnCoff!V25*Summary!$C$9</f>
        <v>0</v>
      </c>
      <c r="W25" s="84">
        <f>IO_CinnCoff!W25*Summary!$C$9</f>
        <v>0</v>
      </c>
      <c r="X25" s="84">
        <f>IO_CinnCoff!X25*Summary!$C$9</f>
        <v>0</v>
      </c>
      <c r="Y25" s="84">
        <f>IO_CinnCoff!Y25*Summary!$C$9</f>
        <v>0</v>
      </c>
      <c r="Z25" s="84">
        <f>IO_CinnCoff!Z25*Summary!$C$9</f>
        <v>0</v>
      </c>
      <c r="AA25" s="84">
        <f>IO_CinnCoff!AA25*Summary!$C$9</f>
        <v>0</v>
      </c>
      <c r="AB25" s="84">
        <f>IO_CinnCoff!AB25*Summary!$C$9</f>
        <v>0</v>
      </c>
      <c r="AC25" s="84">
        <f>IO_CinnCoff!AC25*Summary!$C$9</f>
        <v>0</v>
      </c>
      <c r="AD25" s="84">
        <f>IO_CinnCoff!AD25*Summary!$C$9</f>
        <v>0</v>
      </c>
      <c r="AE25" s="84">
        <f>IO_CinnCoff!AE25*Summary!$C$9</f>
        <v>0</v>
      </c>
      <c r="AF25" s="84">
        <f>IO_CinnCoff!AF25*Summary!$C$9</f>
        <v>0</v>
      </c>
      <c r="AG25" s="84">
        <f>IO_CinnCoff!AG25*Summary!$C$9</f>
        <v>0</v>
      </c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</row>
    <row r="26" spans="2:58">
      <c r="B26" s="72" t="s">
        <v>188</v>
      </c>
      <c r="C26" s="90" t="s">
        <v>110</v>
      </c>
      <c r="D26" s="84">
        <f>IO_CinnCoff!D26*Summary!$C$9</f>
        <v>2800000</v>
      </c>
      <c r="E26" s="84">
        <f>IO_CinnCoff!E26*Summary!$C$9</f>
        <v>0</v>
      </c>
      <c r="F26" s="84">
        <f>IO_CinnCoff!F26*Summary!$C$9</f>
        <v>0</v>
      </c>
      <c r="G26" s="84">
        <f>IO_CinnCoff!G26*Summary!$C$9</f>
        <v>0</v>
      </c>
      <c r="H26" s="84">
        <f>IO_CinnCoff!H26*Summary!$C$9</f>
        <v>0</v>
      </c>
      <c r="I26" s="84">
        <f>IO_CinnCoff!I26*Summary!$C$9</f>
        <v>0</v>
      </c>
      <c r="J26" s="84">
        <f>IO_CinnCoff!J26*Summary!$C$9</f>
        <v>0</v>
      </c>
      <c r="K26" s="84">
        <f>IO_CinnCoff!K26*Summary!$C$9</f>
        <v>0</v>
      </c>
      <c r="L26" s="84">
        <f>IO_CinnCoff!L26*Summary!$C$9</f>
        <v>0</v>
      </c>
      <c r="M26" s="84">
        <f>IO_CinnCoff!M26*Summary!$C$9</f>
        <v>0</v>
      </c>
      <c r="N26" s="84">
        <f>IO_CinnCoff!N26*Summary!$C$9</f>
        <v>0</v>
      </c>
      <c r="O26" s="84">
        <f>IO_CinnCoff!O26*Summary!$C$9</f>
        <v>0</v>
      </c>
      <c r="P26" s="84">
        <f>IO_CinnCoff!P26*Summary!$C$9</f>
        <v>0</v>
      </c>
      <c r="Q26" s="84">
        <f>IO_CinnCoff!Q26*Summary!$C$9</f>
        <v>0</v>
      </c>
      <c r="R26" s="84">
        <f>IO_CinnCoff!R26*Summary!$C$9</f>
        <v>2800000</v>
      </c>
      <c r="S26" s="84">
        <f>IO_CinnCoff!S26*Summary!$C$9</f>
        <v>0</v>
      </c>
      <c r="T26" s="84">
        <f>IO_CinnCoff!T26*Summary!$C$9</f>
        <v>0</v>
      </c>
      <c r="U26" s="84">
        <f>IO_CinnCoff!U26*Summary!$C$9</f>
        <v>0</v>
      </c>
      <c r="V26" s="84">
        <f>IO_CinnCoff!V26*Summary!$C$9</f>
        <v>0</v>
      </c>
      <c r="W26" s="84">
        <f>IO_CinnCoff!W26*Summary!$C$9</f>
        <v>0</v>
      </c>
      <c r="X26" s="84">
        <f>IO_CinnCoff!X26*Summary!$C$9</f>
        <v>0</v>
      </c>
      <c r="Y26" s="84">
        <f>IO_CinnCoff!Y26*Summary!$C$9</f>
        <v>0</v>
      </c>
      <c r="Z26" s="84">
        <f>IO_CinnCoff!Z26*Summary!$C$9</f>
        <v>0</v>
      </c>
      <c r="AA26" s="84">
        <f>IO_CinnCoff!AA26*Summary!$C$9</f>
        <v>0</v>
      </c>
      <c r="AB26" s="84">
        <f>IO_CinnCoff!AB26*Summary!$C$9</f>
        <v>0</v>
      </c>
      <c r="AC26" s="84">
        <f>IO_CinnCoff!AC26*Summary!$C$9</f>
        <v>0</v>
      </c>
      <c r="AD26" s="84">
        <f>IO_CinnCoff!AD26*Summary!$C$9</f>
        <v>0</v>
      </c>
      <c r="AE26" s="84">
        <f>IO_CinnCoff!AE26*Summary!$C$9</f>
        <v>0</v>
      </c>
      <c r="AF26" s="84">
        <f>IO_CinnCoff!AF26*Summary!$C$9</f>
        <v>0</v>
      </c>
      <c r="AG26" s="84">
        <f>IO_CinnCoff!AG26*Summary!$C$9</f>
        <v>0</v>
      </c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</row>
    <row r="27" spans="2:58">
      <c r="B27" s="62"/>
      <c r="C27" s="83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</row>
    <row r="28" spans="2:58">
      <c r="B28" s="94" t="s">
        <v>187</v>
      </c>
      <c r="C28" s="89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</row>
    <row r="29" spans="2:58">
      <c r="B29" s="72" t="s">
        <v>186</v>
      </c>
      <c r="C29" s="90" t="s">
        <v>110</v>
      </c>
      <c r="D29" s="84">
        <f>IO_CinnCoff!D29*Summary!$C$9</f>
        <v>0</v>
      </c>
      <c r="E29" s="84">
        <f>IO_CinnCoff!E29*Summary!$C$9</f>
        <v>0</v>
      </c>
      <c r="F29" s="84">
        <f>IO_CinnCoff!F29*Summary!$C$9</f>
        <v>0</v>
      </c>
      <c r="G29" s="84">
        <f>IO_CinnCoff!G29*Summary!$C$9</f>
        <v>0</v>
      </c>
      <c r="H29" s="84">
        <f>IO_CinnCoff!H29*Summary!$C$9</f>
        <v>0</v>
      </c>
      <c r="I29" s="84">
        <f>IO_CinnCoff!I29*Summary!$C$9</f>
        <v>0</v>
      </c>
      <c r="J29" s="84">
        <f>IO_CinnCoff!J29*Summary!$C$9</f>
        <v>0</v>
      </c>
      <c r="K29" s="84">
        <f>IO_CinnCoff!K29*Summary!$C$9</f>
        <v>0</v>
      </c>
      <c r="L29" s="84">
        <f>IO_CinnCoff!L29*Summary!$C$9</f>
        <v>0</v>
      </c>
      <c r="M29" s="84">
        <f>IO_CinnCoff!M29*Summary!$C$9</f>
        <v>0</v>
      </c>
      <c r="N29" s="84">
        <f>IO_CinnCoff!N29*Summary!$C$9</f>
        <v>0</v>
      </c>
      <c r="O29" s="84">
        <f>IO_CinnCoff!O29*Summary!$C$9</f>
        <v>0</v>
      </c>
      <c r="P29" s="84">
        <f>IO_CinnCoff!P29*Summary!$C$9</f>
        <v>0</v>
      </c>
      <c r="Q29" s="84">
        <f>IO_CinnCoff!Q29*Summary!$C$9</f>
        <v>0</v>
      </c>
      <c r="R29" s="84">
        <f>IO_CinnCoff!R29*Summary!$C$9</f>
        <v>0</v>
      </c>
      <c r="S29" s="84">
        <f>IO_CinnCoff!S29*Summary!$C$9</f>
        <v>0</v>
      </c>
      <c r="T29" s="84">
        <f>IO_CinnCoff!T29*Summary!$C$9</f>
        <v>0</v>
      </c>
      <c r="U29" s="84">
        <f>IO_CinnCoff!U29*Summary!$C$9</f>
        <v>0</v>
      </c>
      <c r="V29" s="84">
        <f>IO_CinnCoff!V29*Summary!$C$9</f>
        <v>0</v>
      </c>
      <c r="W29" s="84">
        <f>IO_CinnCoff!W29*Summary!$C$9</f>
        <v>0</v>
      </c>
      <c r="X29" s="84">
        <f>IO_CinnCoff!X29*Summary!$C$9</f>
        <v>0</v>
      </c>
      <c r="Y29" s="84">
        <f>IO_CinnCoff!Y29*Summary!$C$9</f>
        <v>0</v>
      </c>
      <c r="Z29" s="84">
        <f>IO_CinnCoff!Z29*Summary!$C$9</f>
        <v>0</v>
      </c>
      <c r="AA29" s="84">
        <f>IO_CinnCoff!AA29*Summary!$C$9</f>
        <v>0</v>
      </c>
      <c r="AB29" s="84">
        <f>IO_CinnCoff!AB29*Summary!$C$9</f>
        <v>0</v>
      </c>
      <c r="AC29" s="84">
        <f>IO_CinnCoff!AC29*Summary!$C$9</f>
        <v>0</v>
      </c>
      <c r="AD29" s="84">
        <f>IO_CinnCoff!AD29*Summary!$C$9</f>
        <v>0</v>
      </c>
      <c r="AE29" s="84">
        <f>IO_CinnCoff!AE29*Summary!$C$9</f>
        <v>0</v>
      </c>
      <c r="AF29" s="84">
        <f>IO_CinnCoff!AF29*Summary!$C$9</f>
        <v>0</v>
      </c>
      <c r="AG29" s="84">
        <f>IO_CinnCoff!AG29*Summary!$C$9</f>
        <v>0</v>
      </c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</row>
    <row r="30" spans="2:58">
      <c r="B30" s="72" t="s">
        <v>131</v>
      </c>
      <c r="C30" s="90" t="s">
        <v>110</v>
      </c>
      <c r="D30" s="84">
        <f>IO_CinnCoff!D30*Summary!$C$9</f>
        <v>0</v>
      </c>
      <c r="E30" s="84">
        <f>IO_CinnCoff!E30*Summary!$C$9</f>
        <v>0</v>
      </c>
      <c r="F30" s="84">
        <f>IO_CinnCoff!F30*Summary!$C$9</f>
        <v>0</v>
      </c>
      <c r="G30" s="84">
        <f>IO_CinnCoff!G30*Summary!$C$9</f>
        <v>0</v>
      </c>
      <c r="H30" s="84">
        <f>IO_CinnCoff!H30*Summary!$C$9</f>
        <v>0</v>
      </c>
      <c r="I30" s="84">
        <f>IO_CinnCoff!I30*Summary!$C$9</f>
        <v>0</v>
      </c>
      <c r="J30" s="84">
        <f>IO_CinnCoff!J30*Summary!$C$9</f>
        <v>0</v>
      </c>
      <c r="K30" s="84">
        <f>IO_CinnCoff!K30*Summary!$C$9</f>
        <v>0</v>
      </c>
      <c r="L30" s="84">
        <f>IO_CinnCoff!L30*Summary!$C$9</f>
        <v>0</v>
      </c>
      <c r="M30" s="84">
        <f>IO_CinnCoff!M30*Summary!$C$9</f>
        <v>0</v>
      </c>
      <c r="N30" s="84">
        <f>IO_CinnCoff!N30*Summary!$C$9</f>
        <v>0</v>
      </c>
      <c r="O30" s="84">
        <f>IO_CinnCoff!O30*Summary!$C$9</f>
        <v>0</v>
      </c>
      <c r="P30" s="84">
        <f>IO_CinnCoff!P30*Summary!$C$9</f>
        <v>0</v>
      </c>
      <c r="Q30" s="84">
        <f>IO_CinnCoff!Q30*Summary!$C$9</f>
        <v>0</v>
      </c>
      <c r="R30" s="84">
        <f>IO_CinnCoff!R30*Summary!$C$9</f>
        <v>0</v>
      </c>
      <c r="S30" s="84">
        <f>IO_CinnCoff!S30*Summary!$C$9</f>
        <v>0</v>
      </c>
      <c r="T30" s="84">
        <f>IO_CinnCoff!T30*Summary!$C$9</f>
        <v>0</v>
      </c>
      <c r="U30" s="84">
        <f>IO_CinnCoff!U30*Summary!$C$9</f>
        <v>0</v>
      </c>
      <c r="V30" s="84">
        <f>IO_CinnCoff!V30*Summary!$C$9</f>
        <v>0</v>
      </c>
      <c r="W30" s="84">
        <f>IO_CinnCoff!W30*Summary!$C$9</f>
        <v>0</v>
      </c>
      <c r="X30" s="84">
        <f>IO_CinnCoff!X30*Summary!$C$9</f>
        <v>0</v>
      </c>
      <c r="Y30" s="84">
        <f>IO_CinnCoff!Y30*Summary!$C$9</f>
        <v>0</v>
      </c>
      <c r="Z30" s="84">
        <f>IO_CinnCoff!Z30*Summary!$C$9</f>
        <v>0</v>
      </c>
      <c r="AA30" s="84">
        <f>IO_CinnCoff!AA30*Summary!$C$9</f>
        <v>0</v>
      </c>
      <c r="AB30" s="84">
        <f>IO_CinnCoff!AB30*Summary!$C$9</f>
        <v>0</v>
      </c>
      <c r="AC30" s="84">
        <f>IO_CinnCoff!AC30*Summary!$C$9</f>
        <v>0</v>
      </c>
      <c r="AD30" s="84">
        <f>IO_CinnCoff!AD30*Summary!$C$9</f>
        <v>0</v>
      </c>
      <c r="AE30" s="84">
        <f>IO_CinnCoff!AE30*Summary!$C$9</f>
        <v>0</v>
      </c>
      <c r="AF30" s="84">
        <f>IO_CinnCoff!AF30*Summary!$C$9</f>
        <v>0</v>
      </c>
      <c r="AG30" s="84">
        <f>IO_CinnCoff!AG30*Summary!$C$9</f>
        <v>0</v>
      </c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</row>
    <row r="31" spans="2:58">
      <c r="B31" s="72" t="s">
        <v>163</v>
      </c>
      <c r="C31" s="90" t="s">
        <v>110</v>
      </c>
      <c r="D31" s="84">
        <f>IO_CinnCoff!D31*Summary!$C$9</f>
        <v>0</v>
      </c>
      <c r="E31" s="84">
        <f>IO_CinnCoff!E31*Summary!$C$9</f>
        <v>0</v>
      </c>
      <c r="F31" s="84">
        <f>IO_CinnCoff!F31*Summary!$C$9</f>
        <v>0</v>
      </c>
      <c r="G31" s="84">
        <f>IO_CinnCoff!G31*Summary!$C$9</f>
        <v>0</v>
      </c>
      <c r="H31" s="84">
        <f>IO_CinnCoff!H31*Summary!$C$9</f>
        <v>0</v>
      </c>
      <c r="I31" s="84">
        <f>IO_CinnCoff!I31*Summary!$C$9</f>
        <v>0</v>
      </c>
      <c r="J31" s="84">
        <f>IO_CinnCoff!J31*Summary!$C$9</f>
        <v>0</v>
      </c>
      <c r="K31" s="84">
        <f>IO_CinnCoff!K31*Summary!$C$9</f>
        <v>0</v>
      </c>
      <c r="L31" s="84">
        <f>IO_CinnCoff!L31*Summary!$C$9</f>
        <v>0</v>
      </c>
      <c r="M31" s="84">
        <f>IO_CinnCoff!M31*Summary!$C$9</f>
        <v>0</v>
      </c>
      <c r="N31" s="84">
        <f>IO_CinnCoff!N31*Summary!$C$9</f>
        <v>0</v>
      </c>
      <c r="O31" s="84">
        <f>IO_CinnCoff!O31*Summary!$C$9</f>
        <v>0</v>
      </c>
      <c r="P31" s="84">
        <f>IO_CinnCoff!P31*Summary!$C$9</f>
        <v>0</v>
      </c>
      <c r="Q31" s="84">
        <f>IO_CinnCoff!Q31*Summary!$C$9</f>
        <v>0</v>
      </c>
      <c r="R31" s="84">
        <f>IO_CinnCoff!R31*Summary!$C$9</f>
        <v>0</v>
      </c>
      <c r="S31" s="84">
        <f>IO_CinnCoff!S31*Summary!$C$9</f>
        <v>0</v>
      </c>
      <c r="T31" s="84">
        <f>IO_CinnCoff!T31*Summary!$C$9</f>
        <v>0</v>
      </c>
      <c r="U31" s="84">
        <f>IO_CinnCoff!U31*Summary!$C$9</f>
        <v>0</v>
      </c>
      <c r="V31" s="84">
        <f>IO_CinnCoff!V31*Summary!$C$9</f>
        <v>0</v>
      </c>
      <c r="W31" s="84">
        <f>IO_CinnCoff!W31*Summary!$C$9</f>
        <v>0</v>
      </c>
      <c r="X31" s="84">
        <f>IO_CinnCoff!X31*Summary!$C$9</f>
        <v>0</v>
      </c>
      <c r="Y31" s="84">
        <f>IO_CinnCoff!Y31*Summary!$C$9</f>
        <v>0</v>
      </c>
      <c r="Z31" s="84">
        <f>IO_CinnCoff!Z31*Summary!$C$9</f>
        <v>0</v>
      </c>
      <c r="AA31" s="84">
        <f>IO_CinnCoff!AA31*Summary!$C$9</f>
        <v>0</v>
      </c>
      <c r="AB31" s="84">
        <f>IO_CinnCoff!AB31*Summary!$C$9</f>
        <v>0</v>
      </c>
      <c r="AC31" s="84">
        <f>IO_CinnCoff!AC31*Summary!$C$9</f>
        <v>0</v>
      </c>
      <c r="AD31" s="84">
        <f>IO_CinnCoff!AD31*Summary!$C$9</f>
        <v>0</v>
      </c>
      <c r="AE31" s="84">
        <f>IO_CinnCoff!AE31*Summary!$C$9</f>
        <v>0</v>
      </c>
      <c r="AF31" s="84">
        <f>IO_CinnCoff!AF31*Summary!$C$9</f>
        <v>0</v>
      </c>
      <c r="AG31" s="84">
        <f>IO_CinnCoff!AG31*Summary!$C$9</f>
        <v>0</v>
      </c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</row>
    <row r="32" spans="2:58">
      <c r="B32" s="61"/>
      <c r="C32" s="90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</row>
    <row r="33" spans="2:58">
      <c r="B33" s="40" t="s">
        <v>134</v>
      </c>
      <c r="C33" s="90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5"/>
      <c r="AI33" s="85"/>
      <c r="AJ33" s="85"/>
      <c r="AK33" s="85"/>
      <c r="AL33" s="85"/>
      <c r="AM33" s="85"/>
      <c r="AN33" s="85"/>
      <c r="AO33" s="85"/>
      <c r="AP33" s="85"/>
      <c r="AQ33" s="85"/>
      <c r="AR33" s="85"/>
      <c r="AS33" s="85"/>
      <c r="AT33" s="85"/>
      <c r="AU33" s="85"/>
      <c r="AV33" s="85"/>
      <c r="AW33" s="85"/>
      <c r="AX33" s="85"/>
      <c r="AY33" s="85"/>
      <c r="AZ33" s="85"/>
      <c r="BA33" s="85"/>
      <c r="BB33" s="85"/>
      <c r="BC33" s="85"/>
      <c r="BD33" s="85"/>
      <c r="BE33" s="85"/>
      <c r="BF33" s="85"/>
    </row>
    <row r="34" spans="2:58">
      <c r="B34" s="72" t="s">
        <v>186</v>
      </c>
      <c r="C34" s="90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5"/>
      <c r="AI34" s="85"/>
      <c r="AJ34" s="85"/>
      <c r="AK34" s="85"/>
      <c r="AL34" s="85"/>
      <c r="AM34" s="85"/>
      <c r="AN34" s="85"/>
      <c r="AO34" s="85"/>
      <c r="AP34" s="85"/>
      <c r="AQ34" s="85"/>
      <c r="AR34" s="85"/>
      <c r="AS34" s="85"/>
      <c r="AT34" s="85"/>
      <c r="AU34" s="85"/>
      <c r="AV34" s="85"/>
      <c r="AW34" s="85"/>
      <c r="AX34" s="85"/>
      <c r="AY34" s="85"/>
      <c r="AZ34" s="85"/>
      <c r="BA34" s="85"/>
      <c r="BB34" s="85"/>
      <c r="BC34" s="85"/>
      <c r="BD34" s="85"/>
      <c r="BE34" s="85"/>
      <c r="BF34" s="85"/>
    </row>
    <row r="35" spans="2:58">
      <c r="B35" s="73" t="s">
        <v>185</v>
      </c>
      <c r="C35" s="90" t="s">
        <v>110</v>
      </c>
      <c r="D35" s="84">
        <f>IO_CinnCoff!D35*Summary!$C$9</f>
        <v>0</v>
      </c>
      <c r="E35" s="84">
        <f>IO_CinnCoff!E35*Summary!$C$9</f>
        <v>2100000</v>
      </c>
      <c r="F35" s="84">
        <f>IO_CinnCoff!F35*Summary!$C$9</f>
        <v>2100000</v>
      </c>
      <c r="G35" s="84">
        <f>IO_CinnCoff!G35*Summary!$C$9</f>
        <v>0</v>
      </c>
      <c r="H35" s="84">
        <f>IO_CinnCoff!H35*Summary!$C$9</f>
        <v>0</v>
      </c>
      <c r="I35" s="84">
        <f>IO_CinnCoff!I35*Summary!$C$9</f>
        <v>0</v>
      </c>
      <c r="J35" s="84">
        <f>IO_CinnCoff!J35*Summary!$C$9</f>
        <v>0</v>
      </c>
      <c r="K35" s="84">
        <f>IO_CinnCoff!K35*Summary!$C$9</f>
        <v>0</v>
      </c>
      <c r="L35" s="84">
        <f>IO_CinnCoff!L35*Summary!$C$9</f>
        <v>0</v>
      </c>
      <c r="M35" s="84">
        <f>IO_CinnCoff!M35*Summary!$C$9</f>
        <v>0</v>
      </c>
      <c r="N35" s="84">
        <f>IO_CinnCoff!N35*Summary!$C$9</f>
        <v>0</v>
      </c>
      <c r="O35" s="84">
        <f>IO_CinnCoff!O35*Summary!$C$9</f>
        <v>0</v>
      </c>
      <c r="P35" s="84">
        <f>IO_CinnCoff!P35*Summary!$C$9</f>
        <v>0</v>
      </c>
      <c r="Q35" s="84">
        <f>IO_CinnCoff!Q35*Summary!$C$9</f>
        <v>0</v>
      </c>
      <c r="R35" s="84">
        <f>IO_CinnCoff!R35*Summary!$C$9</f>
        <v>0</v>
      </c>
      <c r="S35" s="84">
        <f>IO_CinnCoff!S35*Summary!$C$9</f>
        <v>2100000</v>
      </c>
      <c r="T35" s="84">
        <f>IO_CinnCoff!T35*Summary!$C$9</f>
        <v>2100000</v>
      </c>
      <c r="U35" s="84">
        <f>IO_CinnCoff!U35*Summary!$C$9</f>
        <v>0</v>
      </c>
      <c r="V35" s="84">
        <f>IO_CinnCoff!V35*Summary!$C$9</f>
        <v>0</v>
      </c>
      <c r="W35" s="84">
        <f>IO_CinnCoff!W35*Summary!$C$9</f>
        <v>0</v>
      </c>
      <c r="X35" s="84">
        <f>IO_CinnCoff!X35*Summary!$C$9</f>
        <v>0</v>
      </c>
      <c r="Y35" s="84">
        <f>IO_CinnCoff!Y35*Summary!$C$9</f>
        <v>0</v>
      </c>
      <c r="Z35" s="84">
        <f>IO_CinnCoff!Z35*Summary!$C$9</f>
        <v>0</v>
      </c>
      <c r="AA35" s="84">
        <f>IO_CinnCoff!AA35*Summary!$C$9</f>
        <v>0</v>
      </c>
      <c r="AB35" s="84">
        <f>IO_CinnCoff!AB35*Summary!$C$9</f>
        <v>0</v>
      </c>
      <c r="AC35" s="84">
        <f>IO_CinnCoff!AC35*Summary!$C$9</f>
        <v>0</v>
      </c>
      <c r="AD35" s="84">
        <f>IO_CinnCoff!AD35*Summary!$C$9</f>
        <v>0</v>
      </c>
      <c r="AE35" s="84">
        <f>IO_CinnCoff!AE35*Summary!$C$9</f>
        <v>0</v>
      </c>
      <c r="AF35" s="84">
        <f>IO_CinnCoff!AF35*Summary!$C$9</f>
        <v>0</v>
      </c>
      <c r="AG35" s="84">
        <f>IO_CinnCoff!AG35*Summary!$C$9</f>
        <v>0</v>
      </c>
      <c r="AH35" s="85"/>
      <c r="AI35" s="85"/>
      <c r="AJ35" s="85"/>
      <c r="AK35" s="85"/>
      <c r="AL35" s="85"/>
      <c r="AM35" s="85"/>
      <c r="AN35" s="85"/>
      <c r="AO35" s="85"/>
      <c r="AP35" s="85"/>
      <c r="AQ35" s="85"/>
      <c r="AR35" s="85"/>
      <c r="AS35" s="85"/>
      <c r="AT35" s="85"/>
      <c r="AU35" s="85"/>
      <c r="AV35" s="85"/>
      <c r="AW35" s="85"/>
      <c r="AX35" s="85"/>
      <c r="AY35" s="85"/>
      <c r="AZ35" s="85"/>
      <c r="BA35" s="85"/>
      <c r="BB35" s="85"/>
      <c r="BC35" s="85"/>
      <c r="BD35" s="85"/>
      <c r="BE35" s="85"/>
      <c r="BF35" s="85"/>
    </row>
    <row r="36" spans="2:58">
      <c r="B36" s="73" t="s">
        <v>184</v>
      </c>
      <c r="C36" s="90" t="s">
        <v>110</v>
      </c>
      <c r="D36" s="84">
        <f>IO_CinnCoff!D36*Summary!$C$9</f>
        <v>0</v>
      </c>
      <c r="E36" s="84">
        <f>IO_CinnCoff!E36*Summary!$C$9</f>
        <v>1400000</v>
      </c>
      <c r="F36" s="84">
        <f>IO_CinnCoff!F36*Summary!$C$9</f>
        <v>1400000</v>
      </c>
      <c r="G36" s="84">
        <f>IO_CinnCoff!G36*Summary!$C$9</f>
        <v>0</v>
      </c>
      <c r="H36" s="84">
        <f>IO_CinnCoff!H36*Summary!$C$9</f>
        <v>0</v>
      </c>
      <c r="I36" s="84">
        <f>IO_CinnCoff!I36*Summary!$C$9</f>
        <v>0</v>
      </c>
      <c r="J36" s="84">
        <f>IO_CinnCoff!J36*Summary!$C$9</f>
        <v>0</v>
      </c>
      <c r="K36" s="84">
        <f>IO_CinnCoff!K36*Summary!$C$9</f>
        <v>0</v>
      </c>
      <c r="L36" s="84">
        <f>IO_CinnCoff!L36*Summary!$C$9</f>
        <v>0</v>
      </c>
      <c r="M36" s="84">
        <f>IO_CinnCoff!M36*Summary!$C$9</f>
        <v>0</v>
      </c>
      <c r="N36" s="84">
        <f>IO_CinnCoff!N36*Summary!$C$9</f>
        <v>0</v>
      </c>
      <c r="O36" s="84">
        <f>IO_CinnCoff!O36*Summary!$C$9</f>
        <v>0</v>
      </c>
      <c r="P36" s="84">
        <f>IO_CinnCoff!P36*Summary!$C$9</f>
        <v>0</v>
      </c>
      <c r="Q36" s="84">
        <f>IO_CinnCoff!Q36*Summary!$C$9</f>
        <v>0</v>
      </c>
      <c r="R36" s="84">
        <f>IO_CinnCoff!R36*Summary!$C$9</f>
        <v>0</v>
      </c>
      <c r="S36" s="84">
        <f>IO_CinnCoff!S36*Summary!$C$9</f>
        <v>1400000</v>
      </c>
      <c r="T36" s="84">
        <f>IO_CinnCoff!T36*Summary!$C$9</f>
        <v>1400000</v>
      </c>
      <c r="U36" s="84">
        <f>IO_CinnCoff!U36*Summary!$C$9</f>
        <v>0</v>
      </c>
      <c r="V36" s="84">
        <f>IO_CinnCoff!V36*Summary!$C$9</f>
        <v>0</v>
      </c>
      <c r="W36" s="84">
        <f>IO_CinnCoff!W36*Summary!$C$9</f>
        <v>0</v>
      </c>
      <c r="X36" s="84">
        <f>IO_CinnCoff!X36*Summary!$C$9</f>
        <v>0</v>
      </c>
      <c r="Y36" s="84">
        <f>IO_CinnCoff!Y36*Summary!$C$9</f>
        <v>0</v>
      </c>
      <c r="Z36" s="84">
        <f>IO_CinnCoff!Z36*Summary!$C$9</f>
        <v>0</v>
      </c>
      <c r="AA36" s="84">
        <f>IO_CinnCoff!AA36*Summary!$C$9</f>
        <v>0</v>
      </c>
      <c r="AB36" s="84">
        <f>IO_CinnCoff!AB36*Summary!$C$9</f>
        <v>0</v>
      </c>
      <c r="AC36" s="84">
        <f>IO_CinnCoff!AC36*Summary!$C$9</f>
        <v>0</v>
      </c>
      <c r="AD36" s="84">
        <f>IO_CinnCoff!AD36*Summary!$C$9</f>
        <v>0</v>
      </c>
      <c r="AE36" s="84">
        <f>IO_CinnCoff!AE36*Summary!$C$9</f>
        <v>0</v>
      </c>
      <c r="AF36" s="84">
        <f>IO_CinnCoff!AF36*Summary!$C$9</f>
        <v>0</v>
      </c>
      <c r="AG36" s="84">
        <f>IO_CinnCoff!AG36*Summary!$C$9</f>
        <v>0</v>
      </c>
      <c r="AH36" s="85"/>
      <c r="AI36" s="85"/>
      <c r="AJ36" s="85"/>
      <c r="AK36" s="85"/>
      <c r="AL36" s="85"/>
      <c r="AM36" s="85"/>
      <c r="AN36" s="85"/>
      <c r="AO36" s="85"/>
      <c r="AP36" s="85"/>
      <c r="AQ36" s="85"/>
      <c r="AR36" s="85"/>
      <c r="AS36" s="85"/>
      <c r="AT36" s="85"/>
      <c r="AU36" s="85"/>
      <c r="AV36" s="85"/>
      <c r="AW36" s="85"/>
      <c r="AX36" s="85"/>
      <c r="AY36" s="85"/>
      <c r="AZ36" s="85"/>
      <c r="BA36" s="85"/>
      <c r="BB36" s="85"/>
      <c r="BC36" s="85"/>
      <c r="BD36" s="85"/>
      <c r="BE36" s="85"/>
      <c r="BF36" s="85"/>
    </row>
    <row r="37" spans="2:58">
      <c r="B37" s="73" t="s">
        <v>134</v>
      </c>
      <c r="C37" s="90" t="s">
        <v>110</v>
      </c>
      <c r="D37" s="84">
        <f>IO_CinnCoff!D37*Summary!$C$9</f>
        <v>0</v>
      </c>
      <c r="E37" s="84">
        <f>IO_CinnCoff!E37*Summary!$C$9</f>
        <v>210000</v>
      </c>
      <c r="F37" s="84">
        <f>IO_CinnCoff!F37*Summary!$C$9</f>
        <v>210000</v>
      </c>
      <c r="G37" s="84">
        <f>IO_CinnCoff!G37*Summary!$C$9</f>
        <v>0</v>
      </c>
      <c r="H37" s="84">
        <f>IO_CinnCoff!H37*Summary!$C$9</f>
        <v>0</v>
      </c>
      <c r="I37" s="84">
        <f>IO_CinnCoff!I37*Summary!$C$9</f>
        <v>0</v>
      </c>
      <c r="J37" s="84">
        <f>IO_CinnCoff!J37*Summary!$C$9</f>
        <v>0</v>
      </c>
      <c r="K37" s="84">
        <f>IO_CinnCoff!K37*Summary!$C$9</f>
        <v>0</v>
      </c>
      <c r="L37" s="84">
        <f>IO_CinnCoff!L37*Summary!$C$9</f>
        <v>0</v>
      </c>
      <c r="M37" s="84">
        <f>IO_CinnCoff!M37*Summary!$C$9</f>
        <v>0</v>
      </c>
      <c r="N37" s="84">
        <f>IO_CinnCoff!N37*Summary!$C$9</f>
        <v>0</v>
      </c>
      <c r="O37" s="84">
        <f>IO_CinnCoff!O37*Summary!$C$9</f>
        <v>0</v>
      </c>
      <c r="P37" s="84">
        <f>IO_CinnCoff!P37*Summary!$C$9</f>
        <v>0</v>
      </c>
      <c r="Q37" s="84">
        <f>IO_CinnCoff!Q37*Summary!$C$9</f>
        <v>0</v>
      </c>
      <c r="R37" s="84">
        <f>IO_CinnCoff!R37*Summary!$C$9</f>
        <v>0</v>
      </c>
      <c r="S37" s="84">
        <f>IO_CinnCoff!S37*Summary!$C$9</f>
        <v>210000</v>
      </c>
      <c r="T37" s="84">
        <f>IO_CinnCoff!T37*Summary!$C$9</f>
        <v>210000</v>
      </c>
      <c r="U37" s="84">
        <f>IO_CinnCoff!U37*Summary!$C$9</f>
        <v>0</v>
      </c>
      <c r="V37" s="84">
        <f>IO_CinnCoff!V37*Summary!$C$9</f>
        <v>0</v>
      </c>
      <c r="W37" s="84">
        <f>IO_CinnCoff!W37*Summary!$C$9</f>
        <v>0</v>
      </c>
      <c r="X37" s="84">
        <f>IO_CinnCoff!X37*Summary!$C$9</f>
        <v>0</v>
      </c>
      <c r="Y37" s="84">
        <f>IO_CinnCoff!Y37*Summary!$C$9</f>
        <v>0</v>
      </c>
      <c r="Z37" s="84">
        <f>IO_CinnCoff!Z37*Summary!$C$9</f>
        <v>0</v>
      </c>
      <c r="AA37" s="84">
        <f>IO_CinnCoff!AA37*Summary!$C$9</f>
        <v>0</v>
      </c>
      <c r="AB37" s="84">
        <f>IO_CinnCoff!AB37*Summary!$C$9</f>
        <v>0</v>
      </c>
      <c r="AC37" s="84">
        <f>IO_CinnCoff!AC37*Summary!$C$9</f>
        <v>0</v>
      </c>
      <c r="AD37" s="84">
        <f>IO_CinnCoff!AD37*Summary!$C$9</f>
        <v>0</v>
      </c>
      <c r="AE37" s="84">
        <f>IO_CinnCoff!AE37*Summary!$C$9</f>
        <v>0</v>
      </c>
      <c r="AF37" s="84">
        <f>IO_CinnCoff!AF37*Summary!$C$9</f>
        <v>0</v>
      </c>
      <c r="AG37" s="84">
        <f>IO_CinnCoff!AG37*Summary!$C$9</f>
        <v>0</v>
      </c>
      <c r="AH37" s="85"/>
      <c r="AI37" s="85"/>
      <c r="AJ37" s="85"/>
      <c r="AK37" s="85"/>
      <c r="AL37" s="85"/>
      <c r="AM37" s="85"/>
      <c r="AN37" s="85"/>
      <c r="AO37" s="85"/>
      <c r="AP37" s="85"/>
      <c r="AQ37" s="85"/>
      <c r="AR37" s="85"/>
      <c r="AS37" s="85"/>
      <c r="AT37" s="85"/>
      <c r="AU37" s="85"/>
      <c r="AV37" s="85"/>
      <c r="AW37" s="85"/>
      <c r="AX37" s="85"/>
      <c r="AY37" s="85"/>
      <c r="AZ37" s="85"/>
      <c r="BA37" s="85"/>
      <c r="BB37" s="85"/>
      <c r="BC37" s="85"/>
      <c r="BD37" s="85"/>
      <c r="BE37" s="85"/>
      <c r="BF37" s="85"/>
    </row>
    <row r="38" spans="2:58">
      <c r="B38" s="72" t="s">
        <v>131</v>
      </c>
      <c r="C38" s="90" t="s">
        <v>110</v>
      </c>
      <c r="D38" s="84">
        <f>IO_CinnCoff!D38*Summary!$C$9</f>
        <v>0</v>
      </c>
      <c r="E38" s="84">
        <f>IO_CinnCoff!E38*Summary!$C$9</f>
        <v>0</v>
      </c>
      <c r="F38" s="84">
        <f>IO_CinnCoff!F38*Summary!$C$9</f>
        <v>2100000</v>
      </c>
      <c r="G38" s="84">
        <f>IO_CinnCoff!G38*Summary!$C$9</f>
        <v>0</v>
      </c>
      <c r="H38" s="84">
        <f>IO_CinnCoff!H38*Summary!$C$9</f>
        <v>0</v>
      </c>
      <c r="I38" s="84">
        <f>IO_CinnCoff!I38*Summary!$C$9</f>
        <v>0</v>
      </c>
      <c r="J38" s="84">
        <f>IO_CinnCoff!J38*Summary!$C$9</f>
        <v>0</v>
      </c>
      <c r="K38" s="84">
        <f>IO_CinnCoff!K38*Summary!$C$9</f>
        <v>0</v>
      </c>
      <c r="L38" s="84">
        <f>IO_CinnCoff!L38*Summary!$C$9</f>
        <v>0</v>
      </c>
      <c r="M38" s="84">
        <f>IO_CinnCoff!M38*Summary!$C$9</f>
        <v>0</v>
      </c>
      <c r="N38" s="84">
        <f>IO_CinnCoff!N38*Summary!$C$9</f>
        <v>0</v>
      </c>
      <c r="O38" s="84">
        <f>IO_CinnCoff!O38*Summary!$C$9</f>
        <v>0</v>
      </c>
      <c r="P38" s="84">
        <f>IO_CinnCoff!P38*Summary!$C$9</f>
        <v>0</v>
      </c>
      <c r="Q38" s="84">
        <f>IO_CinnCoff!Q38*Summary!$C$9</f>
        <v>0</v>
      </c>
      <c r="R38" s="84">
        <f>IO_CinnCoff!R38*Summary!$C$9</f>
        <v>0</v>
      </c>
      <c r="S38" s="84">
        <f>IO_CinnCoff!S38*Summary!$C$9</f>
        <v>0</v>
      </c>
      <c r="T38" s="84">
        <f>IO_CinnCoff!T38*Summary!$C$9</f>
        <v>0</v>
      </c>
      <c r="U38" s="84">
        <f>IO_CinnCoff!U38*Summary!$C$9</f>
        <v>0</v>
      </c>
      <c r="V38" s="84">
        <f>IO_CinnCoff!V38*Summary!$C$9</f>
        <v>0</v>
      </c>
      <c r="W38" s="84">
        <f>IO_CinnCoff!W38*Summary!$C$9</f>
        <v>0</v>
      </c>
      <c r="X38" s="84">
        <f>IO_CinnCoff!X38*Summary!$C$9</f>
        <v>0</v>
      </c>
      <c r="Y38" s="84">
        <f>IO_CinnCoff!Y38*Summary!$C$9</f>
        <v>0</v>
      </c>
      <c r="Z38" s="84">
        <f>IO_CinnCoff!Z38*Summary!$C$9</f>
        <v>0</v>
      </c>
      <c r="AA38" s="84">
        <f>IO_CinnCoff!AA38*Summary!$C$9</f>
        <v>0</v>
      </c>
      <c r="AB38" s="84">
        <f>IO_CinnCoff!AB38*Summary!$C$9</f>
        <v>0</v>
      </c>
      <c r="AC38" s="84">
        <f>IO_CinnCoff!AC38*Summary!$C$9</f>
        <v>0</v>
      </c>
      <c r="AD38" s="84">
        <f>IO_CinnCoff!AD38*Summary!$C$9</f>
        <v>0</v>
      </c>
      <c r="AE38" s="84">
        <f>IO_CinnCoff!AE38*Summary!$C$9</f>
        <v>0</v>
      </c>
      <c r="AF38" s="84">
        <f>IO_CinnCoff!AF38*Summary!$C$9</f>
        <v>0</v>
      </c>
      <c r="AG38" s="84">
        <f>IO_CinnCoff!AG38*Summary!$C$9</f>
        <v>0</v>
      </c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5"/>
      <c r="BC38" s="85"/>
      <c r="BD38" s="85"/>
      <c r="BE38" s="85"/>
      <c r="BF38" s="85"/>
    </row>
    <row r="39" spans="2:58">
      <c r="B39" s="72" t="s">
        <v>163</v>
      </c>
      <c r="C39" s="90" t="s">
        <v>110</v>
      </c>
      <c r="D39" s="84">
        <f>IO_CinnCoff!D39*Summary!$C$9</f>
        <v>0</v>
      </c>
      <c r="E39" s="84">
        <f>IO_CinnCoff!E39*Summary!$C$9</f>
        <v>0</v>
      </c>
      <c r="F39" s="84">
        <f>IO_CinnCoff!F39*Summary!$C$9</f>
        <v>0</v>
      </c>
      <c r="G39" s="84">
        <f>IO_CinnCoff!G39*Summary!$C$9</f>
        <v>0</v>
      </c>
      <c r="H39" s="84">
        <f>IO_CinnCoff!H39*Summary!$C$9</f>
        <v>0</v>
      </c>
      <c r="I39" s="84">
        <f>IO_CinnCoff!I39*Summary!$C$9</f>
        <v>0</v>
      </c>
      <c r="J39" s="84">
        <f>IO_CinnCoff!J39*Summary!$C$9</f>
        <v>0</v>
      </c>
      <c r="K39" s="84">
        <f>IO_CinnCoff!K39*Summary!$C$9</f>
        <v>0</v>
      </c>
      <c r="L39" s="84">
        <f>IO_CinnCoff!L39*Summary!$C$9</f>
        <v>0</v>
      </c>
      <c r="M39" s="84">
        <f>IO_CinnCoff!M39*Summary!$C$9</f>
        <v>0</v>
      </c>
      <c r="N39" s="84">
        <f>IO_CinnCoff!N39*Summary!$C$9</f>
        <v>0</v>
      </c>
      <c r="O39" s="84">
        <f>IO_CinnCoff!O39*Summary!$C$9</f>
        <v>0</v>
      </c>
      <c r="P39" s="84">
        <f>IO_CinnCoff!P39*Summary!$C$9</f>
        <v>0</v>
      </c>
      <c r="Q39" s="84">
        <f>IO_CinnCoff!Q39*Summary!$C$9</f>
        <v>0</v>
      </c>
      <c r="R39" s="84">
        <f>IO_CinnCoff!R39*Summary!$C$9</f>
        <v>0</v>
      </c>
      <c r="S39" s="84">
        <f>IO_CinnCoff!S39*Summary!$C$9</f>
        <v>0</v>
      </c>
      <c r="T39" s="84">
        <f>IO_CinnCoff!T39*Summary!$C$9</f>
        <v>0</v>
      </c>
      <c r="U39" s="84">
        <f>IO_CinnCoff!U39*Summary!$C$9</f>
        <v>0</v>
      </c>
      <c r="V39" s="84">
        <f>IO_CinnCoff!V39*Summary!$C$9</f>
        <v>0</v>
      </c>
      <c r="W39" s="84">
        <f>IO_CinnCoff!W39*Summary!$C$9</f>
        <v>0</v>
      </c>
      <c r="X39" s="84">
        <f>IO_CinnCoff!X39*Summary!$C$9</f>
        <v>0</v>
      </c>
      <c r="Y39" s="84">
        <f>IO_CinnCoff!Y39*Summary!$C$9</f>
        <v>0</v>
      </c>
      <c r="Z39" s="84">
        <f>IO_CinnCoff!Z39*Summary!$C$9</f>
        <v>0</v>
      </c>
      <c r="AA39" s="84">
        <f>IO_CinnCoff!AA39*Summary!$C$9</f>
        <v>0</v>
      </c>
      <c r="AB39" s="84">
        <f>IO_CinnCoff!AB39*Summary!$C$9</f>
        <v>0</v>
      </c>
      <c r="AC39" s="84">
        <f>IO_CinnCoff!AC39*Summary!$C$9</f>
        <v>0</v>
      </c>
      <c r="AD39" s="84">
        <f>IO_CinnCoff!AD39*Summary!$C$9</f>
        <v>0</v>
      </c>
      <c r="AE39" s="84">
        <f>IO_CinnCoff!AE39*Summary!$C$9</f>
        <v>0</v>
      </c>
      <c r="AF39" s="84">
        <f>IO_CinnCoff!AF39*Summary!$C$9</f>
        <v>0</v>
      </c>
      <c r="AG39" s="84">
        <f>IO_CinnCoff!AG39*Summary!$C$9</f>
        <v>0</v>
      </c>
      <c r="AH39" s="85"/>
      <c r="AI39" s="85"/>
      <c r="AJ39" s="85"/>
      <c r="AK39" s="85"/>
      <c r="AL39" s="85"/>
      <c r="AM39" s="85"/>
      <c r="AN39" s="85"/>
      <c r="AO39" s="85"/>
      <c r="AP39" s="85"/>
      <c r="AQ39" s="85"/>
      <c r="AR39" s="85"/>
      <c r="AS39" s="85"/>
      <c r="AT39" s="85"/>
      <c r="AU39" s="85"/>
      <c r="AV39" s="85"/>
      <c r="AW39" s="85"/>
      <c r="AX39" s="85"/>
      <c r="AY39" s="85"/>
      <c r="AZ39" s="85"/>
      <c r="BA39" s="85"/>
      <c r="BB39" s="85"/>
      <c r="BC39" s="85"/>
      <c r="BD39" s="85"/>
      <c r="BE39" s="85"/>
      <c r="BF39" s="85"/>
    </row>
    <row r="40" spans="2:58">
      <c r="B40" s="59"/>
      <c r="C40" s="90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5"/>
      <c r="AI40" s="85"/>
      <c r="AJ40" s="85"/>
      <c r="AK40" s="85"/>
      <c r="AL40" s="85"/>
      <c r="AM40" s="85"/>
      <c r="AN40" s="85"/>
      <c r="AO40" s="85"/>
      <c r="AP40" s="85"/>
      <c r="AQ40" s="85"/>
      <c r="AR40" s="85"/>
      <c r="AS40" s="85"/>
      <c r="AT40" s="85"/>
      <c r="AU40" s="85"/>
      <c r="AV40" s="85"/>
      <c r="AW40" s="85"/>
      <c r="AX40" s="85"/>
      <c r="AY40" s="85"/>
      <c r="AZ40" s="85"/>
      <c r="BA40" s="85"/>
      <c r="BB40" s="85"/>
      <c r="BC40" s="85"/>
      <c r="BD40" s="85"/>
      <c r="BE40" s="85"/>
      <c r="BF40" s="85"/>
    </row>
    <row r="41" spans="2:58">
      <c r="B41" s="40" t="s">
        <v>135</v>
      </c>
      <c r="C41" s="89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5"/>
      <c r="AI41" s="85"/>
      <c r="AJ41" s="85"/>
      <c r="AK41" s="85"/>
      <c r="AL41" s="85"/>
      <c r="AM41" s="85"/>
      <c r="AN41" s="85"/>
      <c r="AO41" s="85"/>
      <c r="AP41" s="85"/>
      <c r="AQ41" s="85"/>
      <c r="AR41" s="85"/>
      <c r="AS41" s="85"/>
      <c r="AT41" s="85"/>
      <c r="AU41" s="85"/>
      <c r="AV41" s="85"/>
      <c r="AW41" s="85"/>
      <c r="AX41" s="85"/>
      <c r="AY41" s="85"/>
      <c r="AZ41" s="85"/>
      <c r="BA41" s="85"/>
      <c r="BB41" s="85"/>
      <c r="BC41" s="85"/>
      <c r="BD41" s="85"/>
      <c r="BE41" s="85"/>
      <c r="BF41" s="85"/>
    </row>
    <row r="42" spans="2:58">
      <c r="B42" s="72" t="s">
        <v>183</v>
      </c>
      <c r="C42" s="89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5"/>
      <c r="AI42" s="85"/>
      <c r="AJ42" s="85"/>
      <c r="AK42" s="85"/>
      <c r="AL42" s="85"/>
      <c r="AM42" s="85"/>
      <c r="AN42" s="85"/>
      <c r="AO42" s="85"/>
      <c r="AP42" s="85"/>
      <c r="AQ42" s="85"/>
      <c r="AR42" s="85"/>
      <c r="AS42" s="85"/>
      <c r="AT42" s="85"/>
      <c r="AU42" s="85"/>
      <c r="AV42" s="85"/>
      <c r="AW42" s="85"/>
      <c r="AX42" s="85"/>
      <c r="AY42" s="85"/>
      <c r="AZ42" s="85"/>
      <c r="BA42" s="85"/>
      <c r="BB42" s="85"/>
      <c r="BC42" s="85"/>
      <c r="BD42" s="85"/>
      <c r="BE42" s="85"/>
      <c r="BF42" s="85"/>
    </row>
    <row r="43" spans="2:58">
      <c r="B43" s="73" t="s">
        <v>182</v>
      </c>
      <c r="C43" s="89" t="s">
        <v>110</v>
      </c>
      <c r="D43" s="84">
        <f>IO_CinnCoff!D43*Summary!$C$9</f>
        <v>0</v>
      </c>
      <c r="E43" s="84">
        <f>IO_CinnCoff!E43*Summary!$C$9</f>
        <v>0</v>
      </c>
      <c r="F43" s="84">
        <f>IO_CinnCoff!F43*Summary!$C$9</f>
        <v>0</v>
      </c>
      <c r="G43" s="84">
        <f>IO_CinnCoff!G43*Summary!$C$9</f>
        <v>0</v>
      </c>
      <c r="H43" s="84">
        <f>IO_CinnCoff!H43*Summary!$C$9</f>
        <v>0</v>
      </c>
      <c r="I43" s="84">
        <f>IO_CinnCoff!I43*Summary!$C$9</f>
        <v>0</v>
      </c>
      <c r="J43" s="84">
        <f>IO_CinnCoff!J43*Summary!$C$9</f>
        <v>0</v>
      </c>
      <c r="K43" s="84">
        <f>IO_CinnCoff!K43*Summary!$C$9</f>
        <v>0</v>
      </c>
      <c r="L43" s="84">
        <f>IO_CinnCoff!L43*Summary!$C$9</f>
        <v>0</v>
      </c>
      <c r="M43" s="84">
        <f>IO_CinnCoff!M43*Summary!$C$9</f>
        <v>0</v>
      </c>
      <c r="N43" s="84">
        <f>IO_CinnCoff!N43*Summary!$C$9</f>
        <v>0</v>
      </c>
      <c r="O43" s="84">
        <f>IO_CinnCoff!O43*Summary!$C$9</f>
        <v>0</v>
      </c>
      <c r="P43" s="84">
        <f>IO_CinnCoff!P43*Summary!$C$9</f>
        <v>0</v>
      </c>
      <c r="Q43" s="84">
        <f>IO_CinnCoff!Q43*Summary!$C$9</f>
        <v>0</v>
      </c>
      <c r="R43" s="84">
        <f>IO_CinnCoff!R43*Summary!$C$9</f>
        <v>0</v>
      </c>
      <c r="S43" s="84">
        <f>IO_CinnCoff!S43*Summary!$C$9</f>
        <v>0</v>
      </c>
      <c r="T43" s="84">
        <f>IO_CinnCoff!T43*Summary!$C$9</f>
        <v>0</v>
      </c>
      <c r="U43" s="84">
        <f>IO_CinnCoff!U43*Summary!$C$9</f>
        <v>0</v>
      </c>
      <c r="V43" s="84">
        <f>IO_CinnCoff!V43*Summary!$C$9</f>
        <v>0</v>
      </c>
      <c r="W43" s="84">
        <f>IO_CinnCoff!W43*Summary!$C$9</f>
        <v>0</v>
      </c>
      <c r="X43" s="84">
        <f>IO_CinnCoff!X43*Summary!$C$9</f>
        <v>0</v>
      </c>
      <c r="Y43" s="84">
        <f>IO_CinnCoff!Y43*Summary!$C$9</f>
        <v>0</v>
      </c>
      <c r="Z43" s="84">
        <f>IO_CinnCoff!Z43*Summary!$C$9</f>
        <v>0</v>
      </c>
      <c r="AA43" s="84">
        <f>IO_CinnCoff!AA43*Summary!$C$9</f>
        <v>0</v>
      </c>
      <c r="AB43" s="84">
        <f>IO_CinnCoff!AB43*Summary!$C$9</f>
        <v>0</v>
      </c>
      <c r="AC43" s="84">
        <f>IO_CinnCoff!AC43*Summary!$C$9</f>
        <v>0</v>
      </c>
      <c r="AD43" s="84">
        <f>IO_CinnCoff!AD43*Summary!$C$9</f>
        <v>0</v>
      </c>
      <c r="AE43" s="84">
        <f>IO_CinnCoff!AE43*Summary!$C$9</f>
        <v>0</v>
      </c>
      <c r="AF43" s="84">
        <f>IO_CinnCoff!AF43*Summary!$C$9</f>
        <v>0</v>
      </c>
      <c r="AG43" s="84">
        <f>IO_CinnCoff!AG43*Summary!$C$9</f>
        <v>0</v>
      </c>
      <c r="AH43" s="85"/>
      <c r="AI43" s="85"/>
      <c r="AJ43" s="85"/>
      <c r="AK43" s="85"/>
      <c r="AL43" s="85"/>
      <c r="AM43" s="85"/>
      <c r="AN43" s="85"/>
      <c r="AO43" s="85"/>
      <c r="AP43" s="85"/>
      <c r="AQ43" s="85"/>
      <c r="AR43" s="85"/>
      <c r="AS43" s="85"/>
      <c r="AT43" s="85"/>
      <c r="AU43" s="85"/>
      <c r="AV43" s="85"/>
      <c r="AW43" s="85"/>
      <c r="AX43" s="85"/>
      <c r="AY43" s="85"/>
      <c r="AZ43" s="85"/>
      <c r="BA43" s="85"/>
      <c r="BB43" s="85"/>
      <c r="BC43" s="85"/>
      <c r="BD43" s="85"/>
      <c r="BE43" s="85"/>
      <c r="BF43" s="85"/>
    </row>
    <row r="44" spans="2:58">
      <c r="B44" s="73" t="s">
        <v>111</v>
      </c>
      <c r="C44" s="89" t="s">
        <v>110</v>
      </c>
      <c r="D44" s="84">
        <f>IO_CinnCoff!D44*Summary!$C$9</f>
        <v>0</v>
      </c>
      <c r="E44" s="84">
        <f>IO_CinnCoff!E44*Summary!$C$9</f>
        <v>0</v>
      </c>
      <c r="F44" s="84">
        <f>IO_CinnCoff!F44*Summary!$C$9</f>
        <v>0</v>
      </c>
      <c r="G44" s="84">
        <f>IO_CinnCoff!G44*Summary!$C$9</f>
        <v>0</v>
      </c>
      <c r="H44" s="84">
        <f>IO_CinnCoff!H44*Summary!$C$9</f>
        <v>0</v>
      </c>
      <c r="I44" s="84">
        <f>IO_CinnCoff!I44*Summary!$C$9</f>
        <v>0</v>
      </c>
      <c r="J44" s="84">
        <f>IO_CinnCoff!J44*Summary!$C$9</f>
        <v>0</v>
      </c>
      <c r="K44" s="84">
        <f>IO_CinnCoff!K44*Summary!$C$9</f>
        <v>0</v>
      </c>
      <c r="L44" s="84">
        <f>IO_CinnCoff!L44*Summary!$C$9</f>
        <v>0</v>
      </c>
      <c r="M44" s="84">
        <f>IO_CinnCoff!M44*Summary!$C$9</f>
        <v>0</v>
      </c>
      <c r="N44" s="84">
        <f>IO_CinnCoff!N44*Summary!$C$9</f>
        <v>0</v>
      </c>
      <c r="O44" s="84">
        <f>IO_CinnCoff!O44*Summary!$C$9</f>
        <v>0</v>
      </c>
      <c r="P44" s="84">
        <f>IO_CinnCoff!P44*Summary!$C$9</f>
        <v>0</v>
      </c>
      <c r="Q44" s="84">
        <f>IO_CinnCoff!Q44*Summary!$C$9</f>
        <v>0</v>
      </c>
      <c r="R44" s="84">
        <f>IO_CinnCoff!R44*Summary!$C$9</f>
        <v>0</v>
      </c>
      <c r="S44" s="84">
        <f>IO_CinnCoff!S44*Summary!$C$9</f>
        <v>0</v>
      </c>
      <c r="T44" s="84">
        <f>IO_CinnCoff!T44*Summary!$C$9</f>
        <v>0</v>
      </c>
      <c r="U44" s="84">
        <f>IO_CinnCoff!U44*Summary!$C$9</f>
        <v>0</v>
      </c>
      <c r="V44" s="84">
        <f>IO_CinnCoff!V44*Summary!$C$9</f>
        <v>0</v>
      </c>
      <c r="W44" s="84">
        <f>IO_CinnCoff!W44*Summary!$C$9</f>
        <v>0</v>
      </c>
      <c r="X44" s="84">
        <f>IO_CinnCoff!X44*Summary!$C$9</f>
        <v>0</v>
      </c>
      <c r="Y44" s="84">
        <f>IO_CinnCoff!Y44*Summary!$C$9</f>
        <v>0</v>
      </c>
      <c r="Z44" s="84">
        <f>IO_CinnCoff!Z44*Summary!$C$9</f>
        <v>0</v>
      </c>
      <c r="AA44" s="84">
        <f>IO_CinnCoff!AA44*Summary!$C$9</f>
        <v>0</v>
      </c>
      <c r="AB44" s="84">
        <f>IO_CinnCoff!AB44*Summary!$C$9</f>
        <v>0</v>
      </c>
      <c r="AC44" s="84">
        <f>IO_CinnCoff!AC44*Summary!$C$9</f>
        <v>0</v>
      </c>
      <c r="AD44" s="84">
        <f>IO_CinnCoff!AD44*Summary!$C$9</f>
        <v>0</v>
      </c>
      <c r="AE44" s="84">
        <f>IO_CinnCoff!AE44*Summary!$C$9</f>
        <v>0</v>
      </c>
      <c r="AF44" s="84">
        <f>IO_CinnCoff!AF44*Summary!$C$9</f>
        <v>0</v>
      </c>
      <c r="AG44" s="84">
        <f>IO_CinnCoff!AG44*Summary!$C$9</f>
        <v>0</v>
      </c>
      <c r="AH44" s="85"/>
      <c r="AI44" s="85"/>
      <c r="AJ44" s="85"/>
      <c r="AK44" s="85"/>
      <c r="AL44" s="85"/>
      <c r="AM44" s="85"/>
      <c r="AN44" s="85"/>
      <c r="AO44" s="85"/>
      <c r="AP44" s="85"/>
      <c r="AQ44" s="85"/>
      <c r="AR44" s="85"/>
      <c r="AS44" s="85"/>
      <c r="AT44" s="85"/>
      <c r="AU44" s="85"/>
      <c r="AV44" s="85"/>
      <c r="AW44" s="85"/>
      <c r="AX44" s="85"/>
      <c r="AY44" s="85"/>
      <c r="AZ44" s="85"/>
      <c r="BA44" s="85"/>
      <c r="BB44" s="85"/>
      <c r="BC44" s="85"/>
      <c r="BD44" s="85"/>
      <c r="BE44" s="85"/>
      <c r="BF44" s="85"/>
    </row>
    <row r="45" spans="2:58">
      <c r="B45" s="73" t="s">
        <v>112</v>
      </c>
      <c r="C45" s="90" t="s">
        <v>110</v>
      </c>
      <c r="D45" s="84">
        <f>IO_CinnCoff!D45*Summary!$C$9</f>
        <v>0</v>
      </c>
      <c r="E45" s="84">
        <f>IO_CinnCoff!E45*Summary!$C$9</f>
        <v>0</v>
      </c>
      <c r="F45" s="84">
        <f>IO_CinnCoff!F45*Summary!$C$9</f>
        <v>0</v>
      </c>
      <c r="G45" s="84">
        <f>IO_CinnCoff!G45*Summary!$C$9</f>
        <v>0</v>
      </c>
      <c r="H45" s="84">
        <f>IO_CinnCoff!H45*Summary!$C$9</f>
        <v>0</v>
      </c>
      <c r="I45" s="84">
        <f>IO_CinnCoff!I45*Summary!$C$9</f>
        <v>0</v>
      </c>
      <c r="J45" s="84">
        <f>IO_CinnCoff!J45*Summary!$C$9</f>
        <v>0</v>
      </c>
      <c r="K45" s="84">
        <f>IO_CinnCoff!K45*Summary!$C$9</f>
        <v>0</v>
      </c>
      <c r="L45" s="84">
        <f>IO_CinnCoff!L45*Summary!$C$9</f>
        <v>0</v>
      </c>
      <c r="M45" s="84">
        <f>IO_CinnCoff!M45*Summary!$C$9</f>
        <v>0</v>
      </c>
      <c r="N45" s="84">
        <f>IO_CinnCoff!N45*Summary!$C$9</f>
        <v>0</v>
      </c>
      <c r="O45" s="84">
        <f>IO_CinnCoff!O45*Summary!$C$9</f>
        <v>0</v>
      </c>
      <c r="P45" s="84">
        <f>IO_CinnCoff!P45*Summary!$C$9</f>
        <v>0</v>
      </c>
      <c r="Q45" s="84">
        <f>IO_CinnCoff!Q45*Summary!$C$9</f>
        <v>0</v>
      </c>
      <c r="R45" s="84">
        <f>IO_CinnCoff!R45*Summary!$C$9</f>
        <v>0</v>
      </c>
      <c r="S45" s="84">
        <f>IO_CinnCoff!S45*Summary!$C$9</f>
        <v>0</v>
      </c>
      <c r="T45" s="84">
        <f>IO_CinnCoff!T45*Summary!$C$9</f>
        <v>0</v>
      </c>
      <c r="U45" s="84">
        <f>IO_CinnCoff!U45*Summary!$C$9</f>
        <v>0</v>
      </c>
      <c r="V45" s="84">
        <f>IO_CinnCoff!V45*Summary!$C$9</f>
        <v>0</v>
      </c>
      <c r="W45" s="84">
        <f>IO_CinnCoff!W45*Summary!$C$9</f>
        <v>0</v>
      </c>
      <c r="X45" s="84">
        <f>IO_CinnCoff!X45*Summary!$C$9</f>
        <v>0</v>
      </c>
      <c r="Y45" s="84">
        <f>IO_CinnCoff!Y45*Summary!$C$9</f>
        <v>0</v>
      </c>
      <c r="Z45" s="84">
        <f>IO_CinnCoff!Z45*Summary!$C$9</f>
        <v>0</v>
      </c>
      <c r="AA45" s="84">
        <f>IO_CinnCoff!AA45*Summary!$C$9</f>
        <v>0</v>
      </c>
      <c r="AB45" s="84">
        <f>IO_CinnCoff!AB45*Summary!$C$9</f>
        <v>0</v>
      </c>
      <c r="AC45" s="84">
        <f>IO_CinnCoff!AC45*Summary!$C$9</f>
        <v>0</v>
      </c>
      <c r="AD45" s="84">
        <f>IO_CinnCoff!AD45*Summary!$C$9</f>
        <v>0</v>
      </c>
      <c r="AE45" s="84">
        <f>IO_CinnCoff!AE45*Summary!$C$9</f>
        <v>0</v>
      </c>
      <c r="AF45" s="84">
        <f>IO_CinnCoff!AF45*Summary!$C$9</f>
        <v>0</v>
      </c>
      <c r="AG45" s="84">
        <f>IO_CinnCoff!AG45*Summary!$C$9</f>
        <v>0</v>
      </c>
      <c r="AH45" s="85"/>
      <c r="AI45" s="85"/>
      <c r="AJ45" s="85"/>
      <c r="AK45" s="85"/>
      <c r="AL45" s="85"/>
      <c r="AM45" s="85"/>
      <c r="AN45" s="85"/>
      <c r="AO45" s="85"/>
      <c r="AP45" s="85"/>
      <c r="AQ45" s="85"/>
      <c r="AR45" s="85"/>
      <c r="AS45" s="85"/>
      <c r="AT45" s="85"/>
      <c r="AU45" s="85"/>
      <c r="AV45" s="85"/>
      <c r="AW45" s="85"/>
      <c r="AX45" s="85"/>
      <c r="AY45" s="85"/>
      <c r="AZ45" s="85"/>
      <c r="BA45" s="85"/>
      <c r="BB45" s="85"/>
      <c r="BC45" s="85"/>
      <c r="BD45" s="85"/>
      <c r="BE45" s="85"/>
      <c r="BF45" s="85"/>
    </row>
    <row r="46" spans="2:58">
      <c r="B46" s="73" t="s">
        <v>180</v>
      </c>
      <c r="C46" s="90" t="s">
        <v>110</v>
      </c>
      <c r="D46" s="84">
        <f>IO_CinnCoff!D46*Summary!$C$9</f>
        <v>0</v>
      </c>
      <c r="E46" s="84">
        <f>IO_CinnCoff!E46*Summary!$C$9</f>
        <v>0</v>
      </c>
      <c r="F46" s="84">
        <f>IO_CinnCoff!F46*Summary!$C$9</f>
        <v>0</v>
      </c>
      <c r="G46" s="84">
        <f>IO_CinnCoff!G46*Summary!$C$9</f>
        <v>0</v>
      </c>
      <c r="H46" s="84">
        <f>IO_CinnCoff!H46*Summary!$C$9</f>
        <v>0</v>
      </c>
      <c r="I46" s="84">
        <f>IO_CinnCoff!I46*Summary!$C$9</f>
        <v>0</v>
      </c>
      <c r="J46" s="84">
        <f>IO_CinnCoff!J46*Summary!$C$9</f>
        <v>0</v>
      </c>
      <c r="K46" s="84">
        <f>IO_CinnCoff!K46*Summary!$C$9</f>
        <v>0</v>
      </c>
      <c r="L46" s="84">
        <f>IO_CinnCoff!L46*Summary!$C$9</f>
        <v>0</v>
      </c>
      <c r="M46" s="84">
        <f>IO_CinnCoff!M46*Summary!$C$9</f>
        <v>0</v>
      </c>
      <c r="N46" s="84">
        <f>IO_CinnCoff!N46*Summary!$C$9</f>
        <v>0</v>
      </c>
      <c r="O46" s="84">
        <f>IO_CinnCoff!O46*Summary!$C$9</f>
        <v>0</v>
      </c>
      <c r="P46" s="84">
        <f>IO_CinnCoff!P46*Summary!$C$9</f>
        <v>0</v>
      </c>
      <c r="Q46" s="84">
        <f>IO_CinnCoff!Q46*Summary!$C$9</f>
        <v>0</v>
      </c>
      <c r="R46" s="84">
        <f>IO_CinnCoff!R46*Summary!$C$9</f>
        <v>0</v>
      </c>
      <c r="S46" s="84">
        <f>IO_CinnCoff!S46*Summary!$C$9</f>
        <v>0</v>
      </c>
      <c r="T46" s="84">
        <f>IO_CinnCoff!T46*Summary!$C$9</f>
        <v>0</v>
      </c>
      <c r="U46" s="84">
        <f>IO_CinnCoff!U46*Summary!$C$9</f>
        <v>0</v>
      </c>
      <c r="V46" s="84">
        <f>IO_CinnCoff!V46*Summary!$C$9</f>
        <v>0</v>
      </c>
      <c r="W46" s="84">
        <f>IO_CinnCoff!W46*Summary!$C$9</f>
        <v>0</v>
      </c>
      <c r="X46" s="84">
        <f>IO_CinnCoff!X46*Summary!$C$9</f>
        <v>0</v>
      </c>
      <c r="Y46" s="84">
        <f>IO_CinnCoff!Y46*Summary!$C$9</f>
        <v>0</v>
      </c>
      <c r="Z46" s="84">
        <f>IO_CinnCoff!Z46*Summary!$C$9</f>
        <v>0</v>
      </c>
      <c r="AA46" s="84">
        <f>IO_CinnCoff!AA46*Summary!$C$9</f>
        <v>0</v>
      </c>
      <c r="AB46" s="84">
        <f>IO_CinnCoff!AB46*Summary!$C$9</f>
        <v>0</v>
      </c>
      <c r="AC46" s="84">
        <f>IO_CinnCoff!AC46*Summary!$C$9</f>
        <v>0</v>
      </c>
      <c r="AD46" s="84">
        <f>IO_CinnCoff!AD46*Summary!$C$9</f>
        <v>0</v>
      </c>
      <c r="AE46" s="84">
        <f>IO_CinnCoff!AE46*Summary!$C$9</f>
        <v>0</v>
      </c>
      <c r="AF46" s="84">
        <f>IO_CinnCoff!AF46*Summary!$C$9</f>
        <v>0</v>
      </c>
      <c r="AG46" s="84">
        <f>IO_CinnCoff!AG46*Summary!$C$9</f>
        <v>0</v>
      </c>
      <c r="AH46" s="85"/>
      <c r="AI46" s="85"/>
      <c r="AJ46" s="85"/>
      <c r="AK46" s="85"/>
      <c r="AL46" s="85"/>
      <c r="AM46" s="85"/>
      <c r="AN46" s="85"/>
      <c r="AO46" s="85"/>
      <c r="AP46" s="85"/>
      <c r="AQ46" s="85"/>
      <c r="AR46" s="85"/>
      <c r="AS46" s="85"/>
      <c r="AT46" s="85"/>
      <c r="AU46" s="85"/>
      <c r="AV46" s="85"/>
      <c r="AW46" s="85"/>
      <c r="AX46" s="85"/>
      <c r="AY46" s="85"/>
      <c r="AZ46" s="85"/>
      <c r="BA46" s="85"/>
      <c r="BB46" s="85"/>
      <c r="BC46" s="85"/>
      <c r="BD46" s="85"/>
      <c r="BE46" s="85"/>
      <c r="BF46" s="85"/>
    </row>
    <row r="47" spans="2:58">
      <c r="B47" s="63" t="s">
        <v>163</v>
      </c>
      <c r="C47" s="89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5"/>
      <c r="AI47" s="85"/>
      <c r="AJ47" s="85"/>
      <c r="AK47" s="85"/>
      <c r="AL47" s="85"/>
      <c r="AM47" s="85"/>
      <c r="AN47" s="85"/>
      <c r="AO47" s="85"/>
      <c r="AP47" s="85"/>
      <c r="AQ47" s="85"/>
      <c r="AR47" s="85"/>
      <c r="AS47" s="85"/>
      <c r="AT47" s="85"/>
      <c r="AU47" s="85"/>
      <c r="AV47" s="85"/>
      <c r="AW47" s="85"/>
      <c r="AX47" s="85"/>
      <c r="AY47" s="85"/>
      <c r="AZ47" s="85"/>
      <c r="BA47" s="85"/>
      <c r="BB47" s="85"/>
      <c r="BC47" s="85"/>
      <c r="BD47" s="85"/>
      <c r="BE47" s="85"/>
      <c r="BF47" s="85"/>
    </row>
    <row r="48" spans="2:58">
      <c r="B48" s="73" t="s">
        <v>182</v>
      </c>
      <c r="C48" s="89" t="s">
        <v>110</v>
      </c>
      <c r="D48" s="84">
        <f>IO_CinnCoff!D48*Summary!$C$9</f>
        <v>0</v>
      </c>
      <c r="E48" s="84">
        <f>IO_CinnCoff!E48*Summary!$C$9</f>
        <v>0</v>
      </c>
      <c r="F48" s="84">
        <f>IO_CinnCoff!F48*Summary!$C$9</f>
        <v>0</v>
      </c>
      <c r="G48" s="84">
        <f>IO_CinnCoff!G48*Summary!$C$9</f>
        <v>0</v>
      </c>
      <c r="H48" s="84">
        <f>IO_CinnCoff!H48*Summary!$C$9</f>
        <v>0</v>
      </c>
      <c r="I48" s="84">
        <f>IO_CinnCoff!I48*Summary!$C$9</f>
        <v>0</v>
      </c>
      <c r="J48" s="84">
        <f>IO_CinnCoff!J48*Summary!$C$9</f>
        <v>0</v>
      </c>
      <c r="K48" s="84">
        <f>IO_CinnCoff!K48*Summary!$C$9</f>
        <v>0</v>
      </c>
      <c r="L48" s="84">
        <f>IO_CinnCoff!L48*Summary!$C$9</f>
        <v>0</v>
      </c>
      <c r="M48" s="84">
        <f>IO_CinnCoff!M48*Summary!$C$9</f>
        <v>0</v>
      </c>
      <c r="N48" s="84">
        <f>IO_CinnCoff!N48*Summary!$C$9</f>
        <v>0</v>
      </c>
      <c r="O48" s="84">
        <f>IO_CinnCoff!O48*Summary!$C$9</f>
        <v>0</v>
      </c>
      <c r="P48" s="84">
        <f>IO_CinnCoff!P48*Summary!$C$9</f>
        <v>0</v>
      </c>
      <c r="Q48" s="84">
        <f>IO_CinnCoff!Q48*Summary!$C$9</f>
        <v>0</v>
      </c>
      <c r="R48" s="84">
        <f>IO_CinnCoff!R48*Summary!$C$9</f>
        <v>0</v>
      </c>
      <c r="S48" s="84">
        <f>IO_CinnCoff!S48*Summary!$C$9</f>
        <v>0</v>
      </c>
      <c r="T48" s="84">
        <f>IO_CinnCoff!T48*Summary!$C$9</f>
        <v>0</v>
      </c>
      <c r="U48" s="84">
        <f>IO_CinnCoff!U48*Summary!$C$9</f>
        <v>0</v>
      </c>
      <c r="V48" s="84">
        <f>IO_CinnCoff!V48*Summary!$C$9</f>
        <v>0</v>
      </c>
      <c r="W48" s="84">
        <f>IO_CinnCoff!W48*Summary!$C$9</f>
        <v>0</v>
      </c>
      <c r="X48" s="84">
        <f>IO_CinnCoff!X48*Summary!$C$9</f>
        <v>0</v>
      </c>
      <c r="Y48" s="84">
        <f>IO_CinnCoff!Y48*Summary!$C$9</f>
        <v>0</v>
      </c>
      <c r="Z48" s="84">
        <f>IO_CinnCoff!Z48*Summary!$C$9</f>
        <v>0</v>
      </c>
      <c r="AA48" s="84">
        <f>IO_CinnCoff!AA48*Summary!$C$9</f>
        <v>0</v>
      </c>
      <c r="AB48" s="84">
        <f>IO_CinnCoff!AB48*Summary!$C$9</f>
        <v>0</v>
      </c>
      <c r="AC48" s="84">
        <f>IO_CinnCoff!AC48*Summary!$C$9</f>
        <v>0</v>
      </c>
      <c r="AD48" s="84">
        <f>IO_CinnCoff!AD48*Summary!$C$9</f>
        <v>0</v>
      </c>
      <c r="AE48" s="84">
        <f>IO_CinnCoff!AE48*Summary!$C$9</f>
        <v>0</v>
      </c>
      <c r="AF48" s="84">
        <f>IO_CinnCoff!AF48*Summary!$C$9</f>
        <v>0</v>
      </c>
      <c r="AG48" s="84">
        <f>IO_CinnCoff!AG48*Summary!$C$9</f>
        <v>0</v>
      </c>
      <c r="AH48" s="85"/>
      <c r="AI48" s="85"/>
      <c r="AJ48" s="85"/>
      <c r="AK48" s="85"/>
      <c r="AL48" s="85"/>
      <c r="AM48" s="85"/>
      <c r="AN48" s="85"/>
      <c r="AO48" s="85"/>
      <c r="AP48" s="85"/>
      <c r="AQ48" s="85"/>
      <c r="AR48" s="85"/>
      <c r="AS48" s="85"/>
      <c r="AT48" s="85"/>
      <c r="AU48" s="85"/>
      <c r="AV48" s="85"/>
      <c r="AW48" s="85"/>
      <c r="AX48" s="85"/>
      <c r="AY48" s="85"/>
      <c r="AZ48" s="85"/>
      <c r="BA48" s="85"/>
      <c r="BB48" s="85"/>
      <c r="BC48" s="85"/>
      <c r="BD48" s="85"/>
      <c r="BE48" s="85"/>
      <c r="BF48" s="85"/>
    </row>
    <row r="49" spans="2:58">
      <c r="B49" s="73" t="s">
        <v>112</v>
      </c>
      <c r="C49" s="89" t="s">
        <v>110</v>
      </c>
      <c r="D49" s="84">
        <f>IO_CinnCoff!D49*Summary!$C$9</f>
        <v>0</v>
      </c>
      <c r="E49" s="84">
        <f>IO_CinnCoff!E49*Summary!$C$9</f>
        <v>0</v>
      </c>
      <c r="F49" s="84">
        <f>IO_CinnCoff!F49*Summary!$C$9</f>
        <v>0</v>
      </c>
      <c r="G49" s="84">
        <f>IO_CinnCoff!G49*Summary!$C$9</f>
        <v>0</v>
      </c>
      <c r="H49" s="84">
        <f>IO_CinnCoff!H49*Summary!$C$9</f>
        <v>0</v>
      </c>
      <c r="I49" s="84">
        <f>IO_CinnCoff!I49*Summary!$C$9</f>
        <v>0</v>
      </c>
      <c r="J49" s="84">
        <f>IO_CinnCoff!J49*Summary!$C$9</f>
        <v>0</v>
      </c>
      <c r="K49" s="84">
        <f>IO_CinnCoff!K49*Summary!$C$9</f>
        <v>0</v>
      </c>
      <c r="L49" s="84">
        <f>IO_CinnCoff!L49*Summary!$C$9</f>
        <v>0</v>
      </c>
      <c r="M49" s="84">
        <f>IO_CinnCoff!M49*Summary!$C$9</f>
        <v>0</v>
      </c>
      <c r="N49" s="84">
        <f>IO_CinnCoff!N49*Summary!$C$9</f>
        <v>0</v>
      </c>
      <c r="O49" s="84">
        <f>IO_CinnCoff!O49*Summary!$C$9</f>
        <v>0</v>
      </c>
      <c r="P49" s="84">
        <f>IO_CinnCoff!P49*Summary!$C$9</f>
        <v>0</v>
      </c>
      <c r="Q49" s="84">
        <f>IO_CinnCoff!Q49*Summary!$C$9</f>
        <v>0</v>
      </c>
      <c r="R49" s="84">
        <f>IO_CinnCoff!R49*Summary!$C$9</f>
        <v>0</v>
      </c>
      <c r="S49" s="84">
        <f>IO_CinnCoff!S49*Summary!$C$9</f>
        <v>0</v>
      </c>
      <c r="T49" s="84">
        <f>IO_CinnCoff!T49*Summary!$C$9</f>
        <v>0</v>
      </c>
      <c r="U49" s="84">
        <f>IO_CinnCoff!U49*Summary!$C$9</f>
        <v>0</v>
      </c>
      <c r="V49" s="84">
        <f>IO_CinnCoff!V49*Summary!$C$9</f>
        <v>0</v>
      </c>
      <c r="W49" s="84">
        <f>IO_CinnCoff!W49*Summary!$C$9</f>
        <v>0</v>
      </c>
      <c r="X49" s="84">
        <f>IO_CinnCoff!X49*Summary!$C$9</f>
        <v>0</v>
      </c>
      <c r="Y49" s="84">
        <f>IO_CinnCoff!Y49*Summary!$C$9</f>
        <v>0</v>
      </c>
      <c r="Z49" s="84">
        <f>IO_CinnCoff!Z49*Summary!$C$9</f>
        <v>0</v>
      </c>
      <c r="AA49" s="84">
        <f>IO_CinnCoff!AA49*Summary!$C$9</f>
        <v>0</v>
      </c>
      <c r="AB49" s="84">
        <f>IO_CinnCoff!AB49*Summary!$C$9</f>
        <v>0</v>
      </c>
      <c r="AC49" s="84">
        <f>IO_CinnCoff!AC49*Summary!$C$9</f>
        <v>0</v>
      </c>
      <c r="AD49" s="84">
        <f>IO_CinnCoff!AD49*Summary!$C$9</f>
        <v>0</v>
      </c>
      <c r="AE49" s="84">
        <f>IO_CinnCoff!AE49*Summary!$C$9</f>
        <v>0</v>
      </c>
      <c r="AF49" s="84">
        <f>IO_CinnCoff!AF49*Summary!$C$9</f>
        <v>0</v>
      </c>
      <c r="AG49" s="84">
        <f>IO_CinnCoff!AG49*Summary!$C$9</f>
        <v>0</v>
      </c>
      <c r="AH49" s="85"/>
      <c r="AI49" s="85"/>
      <c r="AJ49" s="85"/>
      <c r="AK49" s="85"/>
      <c r="AL49" s="85"/>
      <c r="AM49" s="85"/>
      <c r="AN49" s="85"/>
      <c r="AO49" s="85"/>
      <c r="AP49" s="85"/>
      <c r="AQ49" s="85"/>
      <c r="AR49" s="85"/>
      <c r="AS49" s="85"/>
      <c r="AT49" s="85"/>
      <c r="AU49" s="85"/>
      <c r="AV49" s="85"/>
      <c r="AW49" s="85"/>
      <c r="AX49" s="85"/>
      <c r="AY49" s="85"/>
      <c r="AZ49" s="85"/>
      <c r="BA49" s="85"/>
      <c r="BB49" s="85"/>
      <c r="BC49" s="85"/>
      <c r="BD49" s="85"/>
      <c r="BE49" s="85"/>
      <c r="BF49" s="85"/>
    </row>
    <row r="50" spans="2:58">
      <c r="B50" s="73" t="s">
        <v>181</v>
      </c>
      <c r="C50" s="89" t="s">
        <v>110</v>
      </c>
      <c r="D50" s="84">
        <f>IO_CinnCoff!D50*Summary!$C$9</f>
        <v>0</v>
      </c>
      <c r="E50" s="84">
        <f>IO_CinnCoff!E50*Summary!$C$9</f>
        <v>0</v>
      </c>
      <c r="F50" s="84">
        <f>IO_CinnCoff!F50*Summary!$C$9</f>
        <v>0</v>
      </c>
      <c r="G50" s="84">
        <f>IO_CinnCoff!G50*Summary!$C$9</f>
        <v>0</v>
      </c>
      <c r="H50" s="84">
        <f>IO_CinnCoff!H50*Summary!$C$9</f>
        <v>0</v>
      </c>
      <c r="I50" s="84">
        <f>IO_CinnCoff!I50*Summary!$C$9</f>
        <v>0</v>
      </c>
      <c r="J50" s="84">
        <f>IO_CinnCoff!J50*Summary!$C$9</f>
        <v>0</v>
      </c>
      <c r="K50" s="84">
        <f>IO_CinnCoff!K50*Summary!$C$9</f>
        <v>0</v>
      </c>
      <c r="L50" s="84">
        <f>IO_CinnCoff!L50*Summary!$C$9</f>
        <v>0</v>
      </c>
      <c r="M50" s="84">
        <f>IO_CinnCoff!M50*Summary!$C$9</f>
        <v>0</v>
      </c>
      <c r="N50" s="84">
        <f>IO_CinnCoff!N50*Summary!$C$9</f>
        <v>0</v>
      </c>
      <c r="O50" s="84">
        <f>IO_CinnCoff!O50*Summary!$C$9</f>
        <v>0</v>
      </c>
      <c r="P50" s="84">
        <f>IO_CinnCoff!P50*Summary!$C$9</f>
        <v>0</v>
      </c>
      <c r="Q50" s="84">
        <f>IO_CinnCoff!Q50*Summary!$C$9</f>
        <v>0</v>
      </c>
      <c r="R50" s="84">
        <f>IO_CinnCoff!R50*Summary!$C$9</f>
        <v>0</v>
      </c>
      <c r="S50" s="84">
        <f>IO_CinnCoff!S50*Summary!$C$9</f>
        <v>0</v>
      </c>
      <c r="T50" s="84">
        <f>IO_CinnCoff!T50*Summary!$C$9</f>
        <v>0</v>
      </c>
      <c r="U50" s="84">
        <f>IO_CinnCoff!U50*Summary!$C$9</f>
        <v>0</v>
      </c>
      <c r="V50" s="84">
        <f>IO_CinnCoff!V50*Summary!$C$9</f>
        <v>0</v>
      </c>
      <c r="W50" s="84">
        <f>IO_CinnCoff!W50*Summary!$C$9</f>
        <v>0</v>
      </c>
      <c r="X50" s="84">
        <f>IO_CinnCoff!X50*Summary!$C$9</f>
        <v>0</v>
      </c>
      <c r="Y50" s="84">
        <f>IO_CinnCoff!Y50*Summary!$C$9</f>
        <v>0</v>
      </c>
      <c r="Z50" s="84">
        <f>IO_CinnCoff!Z50*Summary!$C$9</f>
        <v>0</v>
      </c>
      <c r="AA50" s="84">
        <f>IO_CinnCoff!AA50*Summary!$C$9</f>
        <v>0</v>
      </c>
      <c r="AB50" s="84">
        <f>IO_CinnCoff!AB50*Summary!$C$9</f>
        <v>0</v>
      </c>
      <c r="AC50" s="84">
        <f>IO_CinnCoff!AC50*Summary!$C$9</f>
        <v>0</v>
      </c>
      <c r="AD50" s="84">
        <f>IO_CinnCoff!AD50*Summary!$C$9</f>
        <v>0</v>
      </c>
      <c r="AE50" s="84">
        <f>IO_CinnCoff!AE50*Summary!$C$9</f>
        <v>0</v>
      </c>
      <c r="AF50" s="84">
        <f>IO_CinnCoff!AF50*Summary!$C$9</f>
        <v>0</v>
      </c>
      <c r="AG50" s="84">
        <f>IO_CinnCoff!AG50*Summary!$C$9</f>
        <v>0</v>
      </c>
      <c r="AH50" s="85"/>
      <c r="AI50" s="85"/>
      <c r="AJ50" s="85"/>
      <c r="AK50" s="85"/>
      <c r="AL50" s="85"/>
      <c r="AM50" s="85"/>
      <c r="AN50" s="85"/>
      <c r="AO50" s="85"/>
      <c r="AP50" s="85"/>
      <c r="AQ50" s="85"/>
      <c r="AR50" s="85"/>
      <c r="AS50" s="85"/>
      <c r="AT50" s="85"/>
      <c r="AU50" s="85"/>
      <c r="AV50" s="85"/>
      <c r="AW50" s="85"/>
      <c r="AX50" s="85"/>
      <c r="AY50" s="85"/>
      <c r="AZ50" s="85"/>
      <c r="BA50" s="85"/>
      <c r="BB50" s="85"/>
      <c r="BC50" s="85"/>
      <c r="BD50" s="85"/>
      <c r="BE50" s="85"/>
      <c r="BF50" s="85"/>
    </row>
    <row r="51" spans="2:58">
      <c r="B51" s="73" t="s">
        <v>180</v>
      </c>
      <c r="C51" s="89" t="s">
        <v>110</v>
      </c>
      <c r="D51" s="84">
        <f>IO_CinnCoff!D51*Summary!$C$9</f>
        <v>0</v>
      </c>
      <c r="E51" s="84">
        <f>IO_CinnCoff!E51*Summary!$C$9</f>
        <v>0</v>
      </c>
      <c r="F51" s="84">
        <f>IO_CinnCoff!F51*Summary!$C$9</f>
        <v>0</v>
      </c>
      <c r="G51" s="84">
        <f>IO_CinnCoff!G51*Summary!$C$9</f>
        <v>0</v>
      </c>
      <c r="H51" s="84">
        <f>IO_CinnCoff!H51*Summary!$C$9</f>
        <v>0</v>
      </c>
      <c r="I51" s="84">
        <f>IO_CinnCoff!I51*Summary!$C$9</f>
        <v>0</v>
      </c>
      <c r="J51" s="84">
        <f>IO_CinnCoff!J51*Summary!$C$9</f>
        <v>0</v>
      </c>
      <c r="K51" s="84">
        <f>IO_CinnCoff!K51*Summary!$C$9</f>
        <v>0</v>
      </c>
      <c r="L51" s="84">
        <f>IO_CinnCoff!L51*Summary!$C$9</f>
        <v>0</v>
      </c>
      <c r="M51" s="84">
        <f>IO_CinnCoff!M51*Summary!$C$9</f>
        <v>0</v>
      </c>
      <c r="N51" s="84">
        <f>IO_CinnCoff!N51*Summary!$C$9</f>
        <v>0</v>
      </c>
      <c r="O51" s="84">
        <f>IO_CinnCoff!O51*Summary!$C$9</f>
        <v>0</v>
      </c>
      <c r="P51" s="84">
        <f>IO_CinnCoff!P51*Summary!$C$9</f>
        <v>0</v>
      </c>
      <c r="Q51" s="84">
        <f>IO_CinnCoff!Q51*Summary!$C$9</f>
        <v>0</v>
      </c>
      <c r="R51" s="84">
        <f>IO_CinnCoff!R51*Summary!$C$9</f>
        <v>0</v>
      </c>
      <c r="S51" s="84">
        <f>IO_CinnCoff!S51*Summary!$C$9</f>
        <v>0</v>
      </c>
      <c r="T51" s="84">
        <f>IO_CinnCoff!T51*Summary!$C$9</f>
        <v>0</v>
      </c>
      <c r="U51" s="84">
        <f>IO_CinnCoff!U51*Summary!$C$9</f>
        <v>0</v>
      </c>
      <c r="V51" s="84">
        <f>IO_CinnCoff!V51*Summary!$C$9</f>
        <v>0</v>
      </c>
      <c r="W51" s="84">
        <f>IO_CinnCoff!W51*Summary!$C$9</f>
        <v>0</v>
      </c>
      <c r="X51" s="84">
        <f>IO_CinnCoff!X51*Summary!$C$9</f>
        <v>0</v>
      </c>
      <c r="Y51" s="84">
        <f>IO_CinnCoff!Y51*Summary!$C$9</f>
        <v>0</v>
      </c>
      <c r="Z51" s="84">
        <f>IO_CinnCoff!Z51*Summary!$C$9</f>
        <v>0</v>
      </c>
      <c r="AA51" s="84">
        <f>IO_CinnCoff!AA51*Summary!$C$9</f>
        <v>0</v>
      </c>
      <c r="AB51" s="84">
        <f>IO_CinnCoff!AB51*Summary!$C$9</f>
        <v>0</v>
      </c>
      <c r="AC51" s="84">
        <f>IO_CinnCoff!AC51*Summary!$C$9</f>
        <v>0</v>
      </c>
      <c r="AD51" s="84">
        <f>IO_CinnCoff!AD51*Summary!$C$9</f>
        <v>0</v>
      </c>
      <c r="AE51" s="84">
        <f>IO_CinnCoff!AE51*Summary!$C$9</f>
        <v>0</v>
      </c>
      <c r="AF51" s="84">
        <f>IO_CinnCoff!AF51*Summary!$C$9</f>
        <v>0</v>
      </c>
      <c r="AG51" s="84">
        <f>IO_CinnCoff!AG51*Summary!$C$9</f>
        <v>0</v>
      </c>
      <c r="AH51" s="85"/>
      <c r="AI51" s="85"/>
      <c r="AJ51" s="85"/>
      <c r="AK51" s="85"/>
      <c r="AL51" s="85"/>
      <c r="AM51" s="85"/>
      <c r="AN51" s="85"/>
      <c r="AO51" s="85"/>
      <c r="AP51" s="85"/>
      <c r="AQ51" s="85"/>
      <c r="AR51" s="85"/>
      <c r="AS51" s="85"/>
      <c r="AT51" s="85"/>
      <c r="AU51" s="85"/>
      <c r="AV51" s="85"/>
      <c r="AW51" s="85"/>
      <c r="AX51" s="85"/>
      <c r="AY51" s="85"/>
      <c r="AZ51" s="85"/>
      <c r="BA51" s="85"/>
      <c r="BB51" s="85"/>
      <c r="BC51" s="85"/>
      <c r="BD51" s="85"/>
      <c r="BE51" s="85"/>
      <c r="BF51" s="85"/>
    </row>
    <row r="52" spans="2:58">
      <c r="B52" s="73" t="s">
        <v>179</v>
      </c>
      <c r="C52" s="89" t="s">
        <v>110</v>
      </c>
      <c r="D52" s="84">
        <f>IO_CinnCoff!D52*Summary!$C$9</f>
        <v>0</v>
      </c>
      <c r="E52" s="84">
        <f>IO_CinnCoff!E52*Summary!$C$9</f>
        <v>0</v>
      </c>
      <c r="F52" s="84">
        <f>IO_CinnCoff!F52*Summary!$C$9</f>
        <v>0</v>
      </c>
      <c r="G52" s="84">
        <f>IO_CinnCoff!G52*Summary!$C$9</f>
        <v>0</v>
      </c>
      <c r="H52" s="84">
        <f>IO_CinnCoff!H52*Summary!$C$9</f>
        <v>0</v>
      </c>
      <c r="I52" s="84">
        <f>IO_CinnCoff!I52*Summary!$C$9</f>
        <v>0</v>
      </c>
      <c r="J52" s="84">
        <f>IO_CinnCoff!J52*Summary!$C$9</f>
        <v>0</v>
      </c>
      <c r="K52" s="84">
        <f>IO_CinnCoff!K52*Summary!$C$9</f>
        <v>0</v>
      </c>
      <c r="L52" s="84">
        <f>IO_CinnCoff!L52*Summary!$C$9</f>
        <v>0</v>
      </c>
      <c r="M52" s="84">
        <f>IO_CinnCoff!M52*Summary!$C$9</f>
        <v>0</v>
      </c>
      <c r="N52" s="84">
        <f>IO_CinnCoff!N52*Summary!$C$9</f>
        <v>0</v>
      </c>
      <c r="O52" s="84">
        <f>IO_CinnCoff!O52*Summary!$C$9</f>
        <v>0</v>
      </c>
      <c r="P52" s="84">
        <f>IO_CinnCoff!P52*Summary!$C$9</f>
        <v>0</v>
      </c>
      <c r="Q52" s="84">
        <f>IO_CinnCoff!Q52*Summary!$C$9</f>
        <v>0</v>
      </c>
      <c r="R52" s="84">
        <f>IO_CinnCoff!R52*Summary!$C$9</f>
        <v>0</v>
      </c>
      <c r="S52" s="84">
        <f>IO_CinnCoff!S52*Summary!$C$9</f>
        <v>0</v>
      </c>
      <c r="T52" s="84">
        <f>IO_CinnCoff!T52*Summary!$C$9</f>
        <v>0</v>
      </c>
      <c r="U52" s="84">
        <f>IO_CinnCoff!U52*Summary!$C$9</f>
        <v>0</v>
      </c>
      <c r="V52" s="84">
        <f>IO_CinnCoff!V52*Summary!$C$9</f>
        <v>0</v>
      </c>
      <c r="W52" s="84">
        <f>IO_CinnCoff!W52*Summary!$C$9</f>
        <v>0</v>
      </c>
      <c r="X52" s="84">
        <f>IO_CinnCoff!X52*Summary!$C$9</f>
        <v>0</v>
      </c>
      <c r="Y52" s="84">
        <f>IO_CinnCoff!Y52*Summary!$C$9</f>
        <v>0</v>
      </c>
      <c r="Z52" s="84">
        <f>IO_CinnCoff!Z52*Summary!$C$9</f>
        <v>0</v>
      </c>
      <c r="AA52" s="84">
        <f>IO_CinnCoff!AA52*Summary!$C$9</f>
        <v>0</v>
      </c>
      <c r="AB52" s="84">
        <f>IO_CinnCoff!AB52*Summary!$C$9</f>
        <v>0</v>
      </c>
      <c r="AC52" s="84">
        <f>IO_CinnCoff!AC52*Summary!$C$9</f>
        <v>0</v>
      </c>
      <c r="AD52" s="84">
        <f>IO_CinnCoff!AD52*Summary!$C$9</f>
        <v>0</v>
      </c>
      <c r="AE52" s="84">
        <f>IO_CinnCoff!AE52*Summary!$C$9</f>
        <v>0</v>
      </c>
      <c r="AF52" s="84">
        <f>IO_CinnCoff!AF52*Summary!$C$9</f>
        <v>0</v>
      </c>
      <c r="AG52" s="84">
        <f>IO_CinnCoff!AG52*Summary!$C$9</f>
        <v>0</v>
      </c>
      <c r="AH52" s="85"/>
      <c r="AI52" s="85"/>
      <c r="AJ52" s="85"/>
      <c r="AK52" s="85"/>
      <c r="AL52" s="85"/>
      <c r="AM52" s="85"/>
      <c r="AN52" s="85"/>
      <c r="AO52" s="85"/>
      <c r="AP52" s="85"/>
      <c r="AQ52" s="85"/>
      <c r="AR52" s="85"/>
      <c r="AS52" s="85"/>
      <c r="AT52" s="85"/>
      <c r="AU52" s="85"/>
      <c r="AV52" s="85"/>
      <c r="AW52" s="85"/>
      <c r="AX52" s="85"/>
      <c r="AY52" s="85"/>
      <c r="AZ52" s="85"/>
      <c r="BA52" s="85"/>
      <c r="BB52" s="85"/>
      <c r="BC52" s="85"/>
      <c r="BD52" s="85"/>
      <c r="BE52" s="85"/>
      <c r="BF52" s="85"/>
    </row>
    <row r="53" spans="2:58">
      <c r="B53" s="73" t="s">
        <v>178</v>
      </c>
      <c r="C53" s="89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5"/>
      <c r="AI53" s="85"/>
      <c r="AJ53" s="85"/>
      <c r="AK53" s="85"/>
      <c r="AL53" s="85"/>
      <c r="AM53" s="85"/>
      <c r="AN53" s="85"/>
      <c r="AO53" s="85"/>
      <c r="AP53" s="85"/>
      <c r="AQ53" s="85"/>
      <c r="AR53" s="85"/>
      <c r="AS53" s="85"/>
      <c r="AT53" s="85"/>
      <c r="AU53" s="85"/>
      <c r="AV53" s="85"/>
      <c r="AW53" s="85"/>
      <c r="AX53" s="85"/>
      <c r="AY53" s="85"/>
      <c r="AZ53" s="85"/>
      <c r="BA53" s="85"/>
      <c r="BB53" s="85"/>
      <c r="BC53" s="85"/>
      <c r="BD53" s="85"/>
      <c r="BE53" s="85"/>
      <c r="BF53" s="85"/>
    </row>
    <row r="54" spans="2:58">
      <c r="B54" s="73" t="s">
        <v>174</v>
      </c>
      <c r="C54" s="89" t="s">
        <v>110</v>
      </c>
      <c r="D54" s="84">
        <f>IO_CinnCoff!D54*Summary!$C$9</f>
        <v>0</v>
      </c>
      <c r="E54" s="84">
        <f>IO_CinnCoff!E54*Summary!$C$9</f>
        <v>0</v>
      </c>
      <c r="F54" s="84">
        <f>IO_CinnCoff!F54*Summary!$C$9</f>
        <v>0</v>
      </c>
      <c r="G54" s="84">
        <f>IO_CinnCoff!G54*Summary!$C$9</f>
        <v>0</v>
      </c>
      <c r="H54" s="84">
        <f>IO_CinnCoff!H54*Summary!$C$9</f>
        <v>0</v>
      </c>
      <c r="I54" s="84">
        <f>IO_CinnCoff!I54*Summary!$C$9</f>
        <v>0</v>
      </c>
      <c r="J54" s="84">
        <f>IO_CinnCoff!J54*Summary!$C$9</f>
        <v>0</v>
      </c>
      <c r="K54" s="84">
        <f>IO_CinnCoff!K54*Summary!$C$9</f>
        <v>0</v>
      </c>
      <c r="L54" s="84">
        <f>IO_CinnCoff!L54*Summary!$C$9</f>
        <v>0</v>
      </c>
      <c r="M54" s="84">
        <f>IO_CinnCoff!M54*Summary!$C$9</f>
        <v>0</v>
      </c>
      <c r="N54" s="84">
        <f>IO_CinnCoff!N54*Summary!$C$9</f>
        <v>0</v>
      </c>
      <c r="O54" s="84">
        <f>IO_CinnCoff!O54*Summary!$C$9</f>
        <v>0</v>
      </c>
      <c r="P54" s="84">
        <f>IO_CinnCoff!P54*Summary!$C$9</f>
        <v>0</v>
      </c>
      <c r="Q54" s="84">
        <f>IO_CinnCoff!Q54*Summary!$C$9</f>
        <v>0</v>
      </c>
      <c r="R54" s="84">
        <f>IO_CinnCoff!R54*Summary!$C$9</f>
        <v>0</v>
      </c>
      <c r="S54" s="84">
        <f>IO_CinnCoff!S54*Summary!$C$9</f>
        <v>0</v>
      </c>
      <c r="T54" s="84">
        <f>IO_CinnCoff!T54*Summary!$C$9</f>
        <v>0</v>
      </c>
      <c r="U54" s="84">
        <f>IO_CinnCoff!U54*Summary!$C$9</f>
        <v>0</v>
      </c>
      <c r="V54" s="84">
        <f>IO_CinnCoff!V54*Summary!$C$9</f>
        <v>0</v>
      </c>
      <c r="W54" s="84">
        <f>IO_CinnCoff!W54*Summary!$C$9</f>
        <v>0</v>
      </c>
      <c r="X54" s="84">
        <f>IO_CinnCoff!X54*Summary!$C$9</f>
        <v>0</v>
      </c>
      <c r="Y54" s="84">
        <f>IO_CinnCoff!Y54*Summary!$C$9</f>
        <v>0</v>
      </c>
      <c r="Z54" s="84">
        <f>IO_CinnCoff!Z54*Summary!$C$9</f>
        <v>0</v>
      </c>
      <c r="AA54" s="84">
        <f>IO_CinnCoff!AA54*Summary!$C$9</f>
        <v>0</v>
      </c>
      <c r="AB54" s="84">
        <f>IO_CinnCoff!AB54*Summary!$C$9</f>
        <v>0</v>
      </c>
      <c r="AC54" s="84">
        <f>IO_CinnCoff!AC54*Summary!$C$9</f>
        <v>0</v>
      </c>
      <c r="AD54" s="84">
        <f>IO_CinnCoff!AD54*Summary!$C$9</f>
        <v>0</v>
      </c>
      <c r="AE54" s="84">
        <f>IO_CinnCoff!AE54*Summary!$C$9</f>
        <v>0</v>
      </c>
      <c r="AF54" s="84">
        <f>IO_CinnCoff!AF54*Summary!$C$9</f>
        <v>0</v>
      </c>
      <c r="AG54" s="84">
        <f>IO_CinnCoff!AG54*Summary!$C$9</f>
        <v>0</v>
      </c>
      <c r="AH54" s="85"/>
      <c r="AI54" s="85"/>
      <c r="AJ54" s="85"/>
      <c r="AK54" s="85"/>
      <c r="AL54" s="85"/>
      <c r="AM54" s="85"/>
      <c r="AN54" s="85"/>
      <c r="AO54" s="85"/>
      <c r="AP54" s="85"/>
      <c r="AQ54" s="85"/>
      <c r="AR54" s="85"/>
      <c r="AS54" s="85"/>
      <c r="AT54" s="85"/>
      <c r="AU54" s="85"/>
      <c r="AV54" s="85"/>
      <c r="AW54" s="85"/>
      <c r="AX54" s="85"/>
      <c r="AY54" s="85"/>
      <c r="AZ54" s="85"/>
      <c r="BA54" s="85"/>
      <c r="BB54" s="85"/>
      <c r="BC54" s="85"/>
      <c r="BD54" s="85"/>
      <c r="BE54" s="85"/>
      <c r="BF54" s="85"/>
    </row>
    <row r="55" spans="2:58">
      <c r="B55" s="73" t="s">
        <v>177</v>
      </c>
      <c r="C55" s="89" t="s">
        <v>110</v>
      </c>
      <c r="D55" s="84">
        <f>IO_CinnCoff!D55*Summary!$C$9</f>
        <v>0</v>
      </c>
      <c r="E55" s="84">
        <f>IO_CinnCoff!E55*Summary!$C$9</f>
        <v>0</v>
      </c>
      <c r="F55" s="84">
        <f>IO_CinnCoff!F55*Summary!$C$9</f>
        <v>0</v>
      </c>
      <c r="G55" s="84">
        <f>IO_CinnCoff!G55*Summary!$C$9</f>
        <v>0</v>
      </c>
      <c r="H55" s="84">
        <f>IO_CinnCoff!H55*Summary!$C$9</f>
        <v>0</v>
      </c>
      <c r="I55" s="84">
        <f>IO_CinnCoff!I55*Summary!$C$9</f>
        <v>0</v>
      </c>
      <c r="J55" s="84">
        <f>IO_CinnCoff!J55*Summary!$C$9</f>
        <v>0</v>
      </c>
      <c r="K55" s="84">
        <f>IO_CinnCoff!K55*Summary!$C$9</f>
        <v>0</v>
      </c>
      <c r="L55" s="84">
        <f>IO_CinnCoff!L55*Summary!$C$9</f>
        <v>0</v>
      </c>
      <c r="M55" s="84">
        <f>IO_CinnCoff!M55*Summary!$C$9</f>
        <v>0</v>
      </c>
      <c r="N55" s="84">
        <f>IO_CinnCoff!N55*Summary!$C$9</f>
        <v>0</v>
      </c>
      <c r="O55" s="84">
        <f>IO_CinnCoff!O55*Summary!$C$9</f>
        <v>0</v>
      </c>
      <c r="P55" s="84">
        <f>IO_CinnCoff!P55*Summary!$C$9</f>
        <v>0</v>
      </c>
      <c r="Q55" s="84">
        <f>IO_CinnCoff!Q55*Summary!$C$9</f>
        <v>0</v>
      </c>
      <c r="R55" s="84">
        <f>IO_CinnCoff!R55*Summary!$C$9</f>
        <v>0</v>
      </c>
      <c r="S55" s="84">
        <f>IO_CinnCoff!S55*Summary!$C$9</f>
        <v>0</v>
      </c>
      <c r="T55" s="84">
        <f>IO_CinnCoff!T55*Summary!$C$9</f>
        <v>0</v>
      </c>
      <c r="U55" s="84">
        <f>IO_CinnCoff!U55*Summary!$C$9</f>
        <v>0</v>
      </c>
      <c r="V55" s="84">
        <f>IO_CinnCoff!V55*Summary!$C$9</f>
        <v>0</v>
      </c>
      <c r="W55" s="84">
        <f>IO_CinnCoff!W55*Summary!$C$9</f>
        <v>0</v>
      </c>
      <c r="X55" s="84">
        <f>IO_CinnCoff!X55*Summary!$C$9</f>
        <v>0</v>
      </c>
      <c r="Y55" s="84">
        <f>IO_CinnCoff!Y55*Summary!$C$9</f>
        <v>0</v>
      </c>
      <c r="Z55" s="84">
        <f>IO_CinnCoff!Z55*Summary!$C$9</f>
        <v>0</v>
      </c>
      <c r="AA55" s="84">
        <f>IO_CinnCoff!AA55*Summary!$C$9</f>
        <v>0</v>
      </c>
      <c r="AB55" s="84">
        <f>IO_CinnCoff!AB55*Summary!$C$9</f>
        <v>0</v>
      </c>
      <c r="AC55" s="84">
        <f>IO_CinnCoff!AC55*Summary!$C$9</f>
        <v>0</v>
      </c>
      <c r="AD55" s="84">
        <f>IO_CinnCoff!AD55*Summary!$C$9</f>
        <v>0</v>
      </c>
      <c r="AE55" s="84">
        <f>IO_CinnCoff!AE55*Summary!$C$9</f>
        <v>0</v>
      </c>
      <c r="AF55" s="84">
        <f>IO_CinnCoff!AF55*Summary!$C$9</f>
        <v>0</v>
      </c>
      <c r="AG55" s="84">
        <f>IO_CinnCoff!AG55*Summary!$C$9</f>
        <v>0</v>
      </c>
      <c r="AH55" s="85"/>
      <c r="AI55" s="85"/>
      <c r="AJ55" s="85"/>
      <c r="AK55" s="85"/>
      <c r="AL55" s="85"/>
      <c r="AM55" s="85"/>
      <c r="AN55" s="85"/>
      <c r="AO55" s="85"/>
      <c r="AP55" s="85"/>
      <c r="AQ55" s="85"/>
      <c r="AR55" s="85"/>
      <c r="AS55" s="85"/>
      <c r="AT55" s="85"/>
      <c r="AU55" s="85"/>
      <c r="AV55" s="85"/>
      <c r="AW55" s="85"/>
      <c r="AX55" s="85"/>
      <c r="AY55" s="85"/>
      <c r="AZ55" s="85"/>
      <c r="BA55" s="85"/>
      <c r="BB55" s="85"/>
      <c r="BC55" s="85"/>
      <c r="BD55" s="85"/>
      <c r="BE55" s="85"/>
      <c r="BF55" s="85"/>
    </row>
    <row r="56" spans="2:58">
      <c r="B56" s="73" t="s">
        <v>176</v>
      </c>
      <c r="C56" s="89" t="s">
        <v>110</v>
      </c>
      <c r="D56" s="84">
        <f>IO_CinnCoff!D56*Summary!$C$9</f>
        <v>0</v>
      </c>
      <c r="E56" s="84">
        <f>IO_CinnCoff!E56*Summary!$C$9</f>
        <v>0</v>
      </c>
      <c r="F56" s="84">
        <f>IO_CinnCoff!F56*Summary!$C$9</f>
        <v>0</v>
      </c>
      <c r="G56" s="84">
        <f>IO_CinnCoff!G56*Summary!$C$9</f>
        <v>0</v>
      </c>
      <c r="H56" s="84">
        <f>IO_CinnCoff!H56*Summary!$C$9</f>
        <v>0</v>
      </c>
      <c r="I56" s="84">
        <f>IO_CinnCoff!I56*Summary!$C$9</f>
        <v>0</v>
      </c>
      <c r="J56" s="84">
        <f>IO_CinnCoff!J56*Summary!$C$9</f>
        <v>0</v>
      </c>
      <c r="K56" s="84">
        <f>IO_CinnCoff!K56*Summary!$C$9</f>
        <v>0</v>
      </c>
      <c r="L56" s="84">
        <f>IO_CinnCoff!L56*Summary!$C$9</f>
        <v>0</v>
      </c>
      <c r="M56" s="84">
        <f>IO_CinnCoff!M56*Summary!$C$9</f>
        <v>0</v>
      </c>
      <c r="N56" s="84">
        <f>IO_CinnCoff!N56*Summary!$C$9</f>
        <v>0</v>
      </c>
      <c r="O56" s="84">
        <f>IO_CinnCoff!O56*Summary!$C$9</f>
        <v>0</v>
      </c>
      <c r="P56" s="84">
        <f>IO_CinnCoff!P56*Summary!$C$9</f>
        <v>0</v>
      </c>
      <c r="Q56" s="84">
        <f>IO_CinnCoff!Q56*Summary!$C$9</f>
        <v>0</v>
      </c>
      <c r="R56" s="84">
        <f>IO_CinnCoff!R56*Summary!$C$9</f>
        <v>0</v>
      </c>
      <c r="S56" s="84">
        <f>IO_CinnCoff!S56*Summary!$C$9</f>
        <v>0</v>
      </c>
      <c r="T56" s="84">
        <f>IO_CinnCoff!T56*Summary!$C$9</f>
        <v>0</v>
      </c>
      <c r="U56" s="84">
        <f>IO_CinnCoff!U56*Summary!$C$9</f>
        <v>0</v>
      </c>
      <c r="V56" s="84">
        <f>IO_CinnCoff!V56*Summary!$C$9</f>
        <v>0</v>
      </c>
      <c r="W56" s="84">
        <f>IO_CinnCoff!W56*Summary!$C$9</f>
        <v>0</v>
      </c>
      <c r="X56" s="84">
        <f>IO_CinnCoff!X56*Summary!$C$9</f>
        <v>0</v>
      </c>
      <c r="Y56" s="84">
        <f>IO_CinnCoff!Y56*Summary!$C$9</f>
        <v>0</v>
      </c>
      <c r="Z56" s="84">
        <f>IO_CinnCoff!Z56*Summary!$C$9</f>
        <v>0</v>
      </c>
      <c r="AA56" s="84">
        <f>IO_CinnCoff!AA56*Summary!$C$9</f>
        <v>0</v>
      </c>
      <c r="AB56" s="84">
        <f>IO_CinnCoff!AB56*Summary!$C$9</f>
        <v>0</v>
      </c>
      <c r="AC56" s="84">
        <f>IO_CinnCoff!AC56*Summary!$C$9</f>
        <v>0</v>
      </c>
      <c r="AD56" s="84">
        <f>IO_CinnCoff!AD56*Summary!$C$9</f>
        <v>0</v>
      </c>
      <c r="AE56" s="84">
        <f>IO_CinnCoff!AE56*Summary!$C$9</f>
        <v>0</v>
      </c>
      <c r="AF56" s="84">
        <f>IO_CinnCoff!AF56*Summary!$C$9</f>
        <v>0</v>
      </c>
      <c r="AG56" s="84">
        <f>IO_CinnCoff!AG56*Summary!$C$9</f>
        <v>0</v>
      </c>
      <c r="AH56" s="85"/>
      <c r="AI56" s="85"/>
      <c r="AJ56" s="85"/>
      <c r="AK56" s="85"/>
      <c r="AL56" s="85"/>
      <c r="AM56" s="85"/>
      <c r="AN56" s="85"/>
      <c r="AO56" s="85"/>
      <c r="AP56" s="85"/>
      <c r="AQ56" s="85"/>
      <c r="AR56" s="85"/>
      <c r="AS56" s="85"/>
      <c r="AT56" s="85"/>
      <c r="AU56" s="85"/>
      <c r="AV56" s="85"/>
      <c r="AW56" s="85"/>
      <c r="AX56" s="85"/>
      <c r="AY56" s="85"/>
      <c r="AZ56" s="85"/>
      <c r="BA56" s="85"/>
      <c r="BB56" s="85"/>
      <c r="BC56" s="85"/>
      <c r="BD56" s="85"/>
      <c r="BE56" s="85"/>
      <c r="BF56" s="85"/>
    </row>
    <row r="57" spans="2:58">
      <c r="B57" s="73" t="s">
        <v>175</v>
      </c>
      <c r="C57" s="89" t="s">
        <v>110</v>
      </c>
      <c r="D57" s="84">
        <f>IO_CinnCoff!D57*Summary!$C$9</f>
        <v>0</v>
      </c>
      <c r="E57" s="84">
        <f>IO_CinnCoff!E57*Summary!$C$9</f>
        <v>0</v>
      </c>
      <c r="F57" s="84">
        <f>IO_CinnCoff!F57*Summary!$C$9</f>
        <v>0</v>
      </c>
      <c r="G57" s="84">
        <f>IO_CinnCoff!G57*Summary!$C$9</f>
        <v>0</v>
      </c>
      <c r="H57" s="84">
        <f>IO_CinnCoff!H57*Summary!$C$9</f>
        <v>0</v>
      </c>
      <c r="I57" s="84">
        <f>IO_CinnCoff!I57*Summary!$C$9</f>
        <v>0</v>
      </c>
      <c r="J57" s="84">
        <f>IO_CinnCoff!J57*Summary!$C$9</f>
        <v>0</v>
      </c>
      <c r="K57" s="84">
        <f>IO_CinnCoff!K57*Summary!$C$9</f>
        <v>0</v>
      </c>
      <c r="L57" s="84">
        <f>IO_CinnCoff!L57*Summary!$C$9</f>
        <v>0</v>
      </c>
      <c r="M57" s="84">
        <f>IO_CinnCoff!M57*Summary!$C$9</f>
        <v>0</v>
      </c>
      <c r="N57" s="84">
        <f>IO_CinnCoff!N57*Summary!$C$9</f>
        <v>0</v>
      </c>
      <c r="O57" s="84">
        <f>IO_CinnCoff!O57*Summary!$C$9</f>
        <v>0</v>
      </c>
      <c r="P57" s="84">
        <f>IO_CinnCoff!P57*Summary!$C$9</f>
        <v>0</v>
      </c>
      <c r="Q57" s="84">
        <f>IO_CinnCoff!Q57*Summary!$C$9</f>
        <v>0</v>
      </c>
      <c r="R57" s="84">
        <f>IO_CinnCoff!R57*Summary!$C$9</f>
        <v>0</v>
      </c>
      <c r="S57" s="84">
        <f>IO_CinnCoff!S57*Summary!$C$9</f>
        <v>0</v>
      </c>
      <c r="T57" s="84">
        <f>IO_CinnCoff!T57*Summary!$C$9</f>
        <v>0</v>
      </c>
      <c r="U57" s="84">
        <f>IO_CinnCoff!U57*Summary!$C$9</f>
        <v>0</v>
      </c>
      <c r="V57" s="84">
        <f>IO_CinnCoff!V57*Summary!$C$9</f>
        <v>0</v>
      </c>
      <c r="W57" s="84">
        <f>IO_CinnCoff!W57*Summary!$C$9</f>
        <v>0</v>
      </c>
      <c r="X57" s="84">
        <f>IO_CinnCoff!X57*Summary!$C$9</f>
        <v>0</v>
      </c>
      <c r="Y57" s="84">
        <f>IO_CinnCoff!Y57*Summary!$C$9</f>
        <v>0</v>
      </c>
      <c r="Z57" s="84">
        <f>IO_CinnCoff!Z57*Summary!$C$9</f>
        <v>0</v>
      </c>
      <c r="AA57" s="84">
        <f>IO_CinnCoff!AA57*Summary!$C$9</f>
        <v>0</v>
      </c>
      <c r="AB57" s="84">
        <f>IO_CinnCoff!AB57*Summary!$C$9</f>
        <v>0</v>
      </c>
      <c r="AC57" s="84">
        <f>IO_CinnCoff!AC57*Summary!$C$9</f>
        <v>0</v>
      </c>
      <c r="AD57" s="84">
        <f>IO_CinnCoff!AD57*Summary!$C$9</f>
        <v>0</v>
      </c>
      <c r="AE57" s="84">
        <f>IO_CinnCoff!AE57*Summary!$C$9</f>
        <v>0</v>
      </c>
      <c r="AF57" s="84">
        <f>IO_CinnCoff!AF57*Summary!$C$9</f>
        <v>0</v>
      </c>
      <c r="AG57" s="84">
        <f>IO_CinnCoff!AG57*Summary!$C$9</f>
        <v>0</v>
      </c>
      <c r="AH57" s="85"/>
      <c r="AI57" s="85"/>
      <c r="AJ57" s="85"/>
      <c r="AK57" s="85"/>
      <c r="AL57" s="85"/>
      <c r="AM57" s="85"/>
      <c r="AN57" s="85"/>
      <c r="AO57" s="85"/>
      <c r="AP57" s="85"/>
      <c r="AQ57" s="85"/>
      <c r="AR57" s="85"/>
      <c r="AS57" s="85"/>
      <c r="AT57" s="85"/>
      <c r="AU57" s="85"/>
      <c r="AV57" s="85"/>
      <c r="AW57" s="85"/>
      <c r="AX57" s="85"/>
      <c r="AY57" s="85"/>
      <c r="AZ57" s="85"/>
      <c r="BA57" s="85"/>
      <c r="BB57" s="85"/>
      <c r="BC57" s="85"/>
      <c r="BD57" s="85"/>
      <c r="BE57" s="85"/>
      <c r="BF57" s="85"/>
    </row>
    <row r="58" spans="2:58">
      <c r="B58" s="63" t="s">
        <v>131</v>
      </c>
      <c r="C58" s="90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5"/>
      <c r="AI58" s="85"/>
      <c r="AJ58" s="85"/>
      <c r="AK58" s="85"/>
      <c r="AL58" s="85"/>
      <c r="AM58" s="85"/>
      <c r="AN58" s="85"/>
      <c r="AO58" s="85"/>
      <c r="AP58" s="85"/>
      <c r="AQ58" s="85"/>
      <c r="AR58" s="85"/>
      <c r="AS58" s="85"/>
      <c r="AT58" s="85"/>
      <c r="AU58" s="85"/>
      <c r="AV58" s="85"/>
      <c r="AW58" s="85"/>
      <c r="AX58" s="85"/>
      <c r="AY58" s="85"/>
      <c r="AZ58" s="85"/>
      <c r="BA58" s="85"/>
      <c r="BB58" s="85"/>
      <c r="BC58" s="85"/>
      <c r="BD58" s="85"/>
      <c r="BE58" s="85"/>
      <c r="BF58" s="85"/>
    </row>
    <row r="59" spans="2:58">
      <c r="B59" s="73" t="s">
        <v>174</v>
      </c>
      <c r="C59" s="90" t="s">
        <v>110</v>
      </c>
      <c r="D59" s="84">
        <f>IO_CinnCoff!D59*Summary!$C$9</f>
        <v>0</v>
      </c>
      <c r="E59" s="84">
        <f>IO_CinnCoff!E59*Summary!$C$9</f>
        <v>0</v>
      </c>
      <c r="F59" s="84">
        <f>IO_CinnCoff!F59*Summary!$C$9</f>
        <v>0</v>
      </c>
      <c r="G59" s="84">
        <f>IO_CinnCoff!G59*Summary!$C$9</f>
        <v>0</v>
      </c>
      <c r="H59" s="84">
        <f>IO_CinnCoff!H59*Summary!$C$9</f>
        <v>0</v>
      </c>
      <c r="I59" s="84">
        <f>IO_CinnCoff!I59*Summary!$C$9</f>
        <v>70014</v>
      </c>
      <c r="J59" s="84">
        <f>IO_CinnCoff!J59*Summary!$C$9</f>
        <v>105020.99999999999</v>
      </c>
      <c r="K59" s="84">
        <f>IO_CinnCoff!K59*Summary!$C$9</f>
        <v>105020.99999999999</v>
      </c>
      <c r="L59" s="84">
        <f>IO_CinnCoff!L59*Summary!$C$9</f>
        <v>105020.99999999999</v>
      </c>
      <c r="M59" s="84">
        <f>IO_CinnCoff!M59*Summary!$C$9</f>
        <v>105020.99999999999</v>
      </c>
      <c r="N59" s="84">
        <f>IO_CinnCoff!N59*Summary!$C$9</f>
        <v>175034.99999999997</v>
      </c>
      <c r="O59" s="84">
        <f>IO_CinnCoff!O59*Summary!$C$9</f>
        <v>280056</v>
      </c>
      <c r="P59" s="84">
        <f>IO_CinnCoff!P59*Summary!$C$9</f>
        <v>350069.99999999994</v>
      </c>
      <c r="Q59" s="84">
        <f>IO_CinnCoff!Q59*Summary!$C$9</f>
        <v>0</v>
      </c>
      <c r="R59" s="84">
        <f>IO_CinnCoff!R59*Summary!$C$9</f>
        <v>0</v>
      </c>
      <c r="S59" s="84">
        <f>IO_CinnCoff!S59*Summary!$C$9</f>
        <v>0</v>
      </c>
      <c r="T59" s="84">
        <f>IO_CinnCoff!T59*Summary!$C$9</f>
        <v>0</v>
      </c>
      <c r="U59" s="84">
        <f>IO_CinnCoff!U59*Summary!$C$9</f>
        <v>0</v>
      </c>
      <c r="V59" s="84">
        <f>IO_CinnCoff!V59*Summary!$C$9</f>
        <v>0</v>
      </c>
      <c r="W59" s="84">
        <f>IO_CinnCoff!W59*Summary!$C$9</f>
        <v>70014</v>
      </c>
      <c r="X59" s="84">
        <f>IO_CinnCoff!X59*Summary!$C$9</f>
        <v>105020.99999999999</v>
      </c>
      <c r="Y59" s="84">
        <f>IO_CinnCoff!Y59*Summary!$C$9</f>
        <v>105020.99999999999</v>
      </c>
      <c r="Z59" s="84">
        <f>IO_CinnCoff!Z59*Summary!$C$9</f>
        <v>105020.99999999999</v>
      </c>
      <c r="AA59" s="84">
        <f>IO_CinnCoff!AA59*Summary!$C$9</f>
        <v>105020.99999999999</v>
      </c>
      <c r="AB59" s="84">
        <f>IO_CinnCoff!AB59*Summary!$C$9</f>
        <v>175034.99999999997</v>
      </c>
      <c r="AC59" s="84">
        <f>IO_CinnCoff!AC59*Summary!$C$9</f>
        <v>280056</v>
      </c>
      <c r="AD59" s="84">
        <f>IO_CinnCoff!AD59*Summary!$C$9</f>
        <v>350069.99999999994</v>
      </c>
      <c r="AE59" s="84">
        <f>IO_CinnCoff!AE59*Summary!$C$9</f>
        <v>58380</v>
      </c>
      <c r="AF59" s="84">
        <f>IO_CinnCoff!AF59*Summary!$C$9</f>
        <v>0</v>
      </c>
      <c r="AG59" s="84">
        <f>IO_CinnCoff!AG59*Summary!$C$9</f>
        <v>0</v>
      </c>
      <c r="AH59" s="85"/>
      <c r="AI59" s="85"/>
      <c r="AJ59" s="85"/>
      <c r="AK59" s="85"/>
      <c r="AL59" s="85"/>
      <c r="AM59" s="85"/>
      <c r="AN59" s="85"/>
      <c r="AO59" s="85"/>
      <c r="AP59" s="85"/>
      <c r="AQ59" s="85"/>
      <c r="AR59" s="85"/>
      <c r="AS59" s="85"/>
      <c r="AT59" s="85"/>
      <c r="AU59" s="85"/>
      <c r="AV59" s="85"/>
      <c r="AW59" s="85"/>
      <c r="AX59" s="85"/>
      <c r="AY59" s="85"/>
      <c r="AZ59" s="85"/>
      <c r="BA59" s="85"/>
      <c r="BB59" s="85"/>
      <c r="BC59" s="85"/>
      <c r="BD59" s="85"/>
      <c r="BE59" s="85"/>
      <c r="BF59" s="85"/>
    </row>
    <row r="60" spans="2:58">
      <c r="B60" s="73" t="s">
        <v>173</v>
      </c>
      <c r="C60" s="90" t="s">
        <v>110</v>
      </c>
      <c r="D60" s="84">
        <f>IO_CinnCoff!D60*Summary!$C$9</f>
        <v>0</v>
      </c>
      <c r="E60" s="84">
        <f>IO_CinnCoff!E60*Summary!$C$9</f>
        <v>0</v>
      </c>
      <c r="F60" s="84">
        <f>IO_CinnCoff!F60*Summary!$C$9</f>
        <v>0</v>
      </c>
      <c r="G60" s="84">
        <f>IO_CinnCoff!G60*Summary!$C$9</f>
        <v>0</v>
      </c>
      <c r="H60" s="84">
        <f>IO_CinnCoff!H60*Summary!$C$9</f>
        <v>0</v>
      </c>
      <c r="I60" s="84">
        <f>IO_CinnCoff!I60*Summary!$C$9</f>
        <v>0</v>
      </c>
      <c r="J60" s="84">
        <f>IO_CinnCoff!J60*Summary!$C$9</f>
        <v>0</v>
      </c>
      <c r="K60" s="84">
        <f>IO_CinnCoff!K60*Summary!$C$9</f>
        <v>0</v>
      </c>
      <c r="L60" s="84">
        <f>IO_CinnCoff!L60*Summary!$C$9</f>
        <v>320859</v>
      </c>
      <c r="M60" s="84">
        <f>IO_CinnCoff!M60*Summary!$C$9</f>
        <v>0</v>
      </c>
      <c r="N60" s="84">
        <f>IO_CinnCoff!N60*Summary!$C$9</f>
        <v>510457.49999999988</v>
      </c>
      <c r="O60" s="84">
        <f>IO_CinnCoff!O60*Summary!$C$9</f>
        <v>0</v>
      </c>
      <c r="P60" s="84">
        <f>IO_CinnCoff!P60*Summary!$C$9</f>
        <v>0</v>
      </c>
      <c r="Q60" s="84">
        <f>IO_CinnCoff!Q60*Summary!$C$9</f>
        <v>0</v>
      </c>
      <c r="R60" s="84">
        <f>IO_CinnCoff!R60*Summary!$C$9</f>
        <v>0</v>
      </c>
      <c r="S60" s="84">
        <f>IO_CinnCoff!S60*Summary!$C$9</f>
        <v>0</v>
      </c>
      <c r="T60" s="84">
        <f>IO_CinnCoff!T60*Summary!$C$9</f>
        <v>0</v>
      </c>
      <c r="U60" s="84">
        <f>IO_CinnCoff!U60*Summary!$C$9</f>
        <v>0</v>
      </c>
      <c r="V60" s="84">
        <f>IO_CinnCoff!V60*Summary!$C$9</f>
        <v>0</v>
      </c>
      <c r="W60" s="84">
        <f>IO_CinnCoff!W60*Summary!$C$9</f>
        <v>0</v>
      </c>
      <c r="X60" s="84">
        <f>IO_CinnCoff!X60*Summary!$C$9</f>
        <v>0</v>
      </c>
      <c r="Y60" s="84">
        <f>IO_CinnCoff!Y60*Summary!$C$9</f>
        <v>0</v>
      </c>
      <c r="Z60" s="84">
        <f>IO_CinnCoff!Z60*Summary!$C$9</f>
        <v>320859</v>
      </c>
      <c r="AA60" s="84">
        <f>IO_CinnCoff!AA60*Summary!$C$9</f>
        <v>0</v>
      </c>
      <c r="AB60" s="84">
        <f>IO_CinnCoff!AB60*Summary!$C$9</f>
        <v>510457.49999999988</v>
      </c>
      <c r="AC60" s="84">
        <f>IO_CinnCoff!AC60*Summary!$C$9</f>
        <v>0</v>
      </c>
      <c r="AD60" s="84">
        <f>IO_CinnCoff!AD60*Summary!$C$9</f>
        <v>0</v>
      </c>
      <c r="AE60" s="84">
        <f>IO_CinnCoff!AE60*Summary!$C$9</f>
        <v>875700</v>
      </c>
      <c r="AF60" s="84">
        <f>IO_CinnCoff!AF60*Summary!$C$9</f>
        <v>0</v>
      </c>
      <c r="AG60" s="84">
        <f>IO_CinnCoff!AG60*Summary!$C$9</f>
        <v>0</v>
      </c>
      <c r="AH60" s="85"/>
      <c r="AI60" s="85"/>
      <c r="AJ60" s="85"/>
      <c r="AK60" s="85"/>
      <c r="AL60" s="85"/>
      <c r="AM60" s="85"/>
      <c r="AN60" s="85"/>
      <c r="AO60" s="85"/>
      <c r="AP60" s="85"/>
      <c r="AQ60" s="85"/>
      <c r="AR60" s="85"/>
      <c r="AS60" s="85"/>
      <c r="AT60" s="85"/>
      <c r="AU60" s="85"/>
      <c r="AV60" s="85"/>
      <c r="AW60" s="85"/>
      <c r="AX60" s="85"/>
      <c r="AY60" s="85"/>
      <c r="AZ60" s="85"/>
      <c r="BA60" s="85"/>
      <c r="BB60" s="85"/>
      <c r="BC60" s="85"/>
      <c r="BD60" s="85"/>
      <c r="BE60" s="85"/>
      <c r="BF60" s="85"/>
    </row>
    <row r="61" spans="2:58">
      <c r="B61" s="61"/>
      <c r="C61" s="90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5"/>
      <c r="AI61" s="85"/>
      <c r="AJ61" s="85"/>
      <c r="AK61" s="85"/>
      <c r="AL61" s="85"/>
      <c r="AM61" s="85"/>
      <c r="AN61" s="85"/>
      <c r="AO61" s="85"/>
      <c r="AP61" s="85"/>
      <c r="AQ61" s="85"/>
      <c r="AR61" s="85"/>
      <c r="AS61" s="85"/>
      <c r="AT61" s="85"/>
      <c r="AU61" s="85"/>
      <c r="AV61" s="85"/>
      <c r="AW61" s="85"/>
      <c r="AX61" s="85"/>
      <c r="AY61" s="85"/>
      <c r="AZ61" s="85"/>
      <c r="BA61" s="85"/>
      <c r="BB61" s="85"/>
      <c r="BC61" s="85"/>
      <c r="BD61" s="85"/>
      <c r="BE61" s="85"/>
      <c r="BF61" s="85"/>
    </row>
    <row r="62" spans="2:58">
      <c r="B62" s="40" t="s">
        <v>78</v>
      </c>
      <c r="C62" s="90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5"/>
      <c r="AI62" s="85"/>
      <c r="AJ62" s="85"/>
      <c r="AK62" s="85"/>
      <c r="AL62" s="85"/>
      <c r="AM62" s="85"/>
      <c r="AN62" s="85"/>
      <c r="AO62" s="85"/>
      <c r="AP62" s="85"/>
      <c r="AQ62" s="85"/>
      <c r="AR62" s="85"/>
      <c r="AS62" s="85"/>
      <c r="AT62" s="85"/>
      <c r="AU62" s="85"/>
      <c r="AV62" s="85"/>
      <c r="AW62" s="85"/>
      <c r="AX62" s="85"/>
      <c r="AY62" s="85"/>
      <c r="AZ62" s="85"/>
      <c r="BA62" s="85"/>
      <c r="BB62" s="85"/>
      <c r="BC62" s="85"/>
      <c r="BD62" s="85"/>
      <c r="BE62" s="85"/>
      <c r="BF62" s="85"/>
    </row>
    <row r="63" spans="2:58">
      <c r="B63" s="63" t="s">
        <v>166</v>
      </c>
      <c r="C63" s="90" t="s">
        <v>110</v>
      </c>
      <c r="D63" s="84">
        <f>IO_CinnCoff!D63*Summary!$C$9</f>
        <v>0</v>
      </c>
      <c r="E63" s="84">
        <f>IO_CinnCoff!E63*Summary!$C$9</f>
        <v>0</v>
      </c>
      <c r="F63" s="84">
        <f>IO_CinnCoff!F63*Summary!$C$9</f>
        <v>0</v>
      </c>
      <c r="G63" s="84">
        <f>IO_CinnCoff!G63*Summary!$C$9</f>
        <v>0</v>
      </c>
      <c r="H63" s="84">
        <f>IO_CinnCoff!H63*Summary!$C$9</f>
        <v>0</v>
      </c>
      <c r="I63" s="84">
        <f>IO_CinnCoff!I63*Summary!$C$9</f>
        <v>0</v>
      </c>
      <c r="J63" s="84">
        <f>IO_CinnCoff!J63*Summary!$C$9</f>
        <v>0</v>
      </c>
      <c r="K63" s="84">
        <f>IO_CinnCoff!K63*Summary!$C$9</f>
        <v>0</v>
      </c>
      <c r="L63" s="84">
        <f>IO_CinnCoff!L63*Summary!$C$9</f>
        <v>0</v>
      </c>
      <c r="M63" s="84">
        <f>IO_CinnCoff!M63*Summary!$C$9</f>
        <v>0</v>
      </c>
      <c r="N63" s="84">
        <f>IO_CinnCoff!N63*Summary!$C$9</f>
        <v>0</v>
      </c>
      <c r="O63" s="84">
        <f>IO_CinnCoff!O63*Summary!$C$9</f>
        <v>0</v>
      </c>
      <c r="P63" s="84">
        <f>IO_CinnCoff!P63*Summary!$C$9</f>
        <v>0</v>
      </c>
      <c r="Q63" s="84">
        <f>IO_CinnCoff!Q63*Summary!$C$9</f>
        <v>0</v>
      </c>
      <c r="R63" s="84">
        <f>IO_CinnCoff!R63*Summary!$C$9</f>
        <v>0</v>
      </c>
      <c r="S63" s="84">
        <f>IO_CinnCoff!S63*Summary!$C$9</f>
        <v>0</v>
      </c>
      <c r="T63" s="84">
        <f>IO_CinnCoff!T63*Summary!$C$9</f>
        <v>0</v>
      </c>
      <c r="U63" s="84">
        <f>IO_CinnCoff!U63*Summary!$C$9</f>
        <v>0</v>
      </c>
      <c r="V63" s="84">
        <f>IO_CinnCoff!V63*Summary!$C$9</f>
        <v>0</v>
      </c>
      <c r="W63" s="84">
        <f>IO_CinnCoff!W63*Summary!$C$9</f>
        <v>0</v>
      </c>
      <c r="X63" s="84">
        <f>IO_CinnCoff!X63*Summary!$C$9</f>
        <v>0</v>
      </c>
      <c r="Y63" s="84">
        <f>IO_CinnCoff!Y63*Summary!$C$9</f>
        <v>0</v>
      </c>
      <c r="Z63" s="84">
        <f>IO_CinnCoff!Z63*Summary!$C$9</f>
        <v>0</v>
      </c>
      <c r="AA63" s="84">
        <f>IO_CinnCoff!AA63*Summary!$C$9</f>
        <v>0</v>
      </c>
      <c r="AB63" s="84">
        <f>IO_CinnCoff!AB63*Summary!$C$9</f>
        <v>0</v>
      </c>
      <c r="AC63" s="84">
        <f>IO_CinnCoff!AC63*Summary!$C$9</f>
        <v>0</v>
      </c>
      <c r="AD63" s="84">
        <f>IO_CinnCoff!AD63*Summary!$C$9</f>
        <v>0</v>
      </c>
      <c r="AE63" s="84">
        <f>IO_CinnCoff!AE63*Summary!$C$9</f>
        <v>0</v>
      </c>
      <c r="AF63" s="84">
        <f>IO_CinnCoff!AF63*Summary!$C$9</f>
        <v>0</v>
      </c>
      <c r="AG63" s="84">
        <f>IO_CinnCoff!AG63*Summary!$C$9</f>
        <v>0</v>
      </c>
      <c r="AH63" s="85"/>
      <c r="AI63" s="85"/>
      <c r="AJ63" s="85"/>
      <c r="AK63" s="85"/>
      <c r="AL63" s="85"/>
      <c r="AM63" s="85"/>
      <c r="AN63" s="85"/>
      <c r="AO63" s="85"/>
      <c r="AP63" s="85"/>
      <c r="AQ63" s="85"/>
      <c r="AR63" s="85"/>
      <c r="AS63" s="85"/>
      <c r="AT63" s="85"/>
      <c r="AU63" s="85"/>
      <c r="AV63" s="85"/>
      <c r="AW63" s="85"/>
      <c r="AX63" s="85"/>
      <c r="AY63" s="85"/>
      <c r="AZ63" s="85"/>
      <c r="BA63" s="85"/>
      <c r="BB63" s="85"/>
      <c r="BC63" s="85"/>
      <c r="BD63" s="85"/>
      <c r="BE63" s="85"/>
      <c r="BF63" s="85"/>
    </row>
    <row r="64" spans="2:58">
      <c r="B64" s="63" t="s">
        <v>131</v>
      </c>
      <c r="C64" s="90"/>
      <c r="D64" s="84">
        <f>IO_CinnCoff!D64*Summary!$C$9</f>
        <v>0</v>
      </c>
      <c r="E64" s="84">
        <f>IO_CinnCoff!E64*Summary!$C$9</f>
        <v>0</v>
      </c>
      <c r="F64" s="84">
        <f>IO_CinnCoff!F64*Summary!$C$9</f>
        <v>0</v>
      </c>
      <c r="G64" s="84">
        <f>IO_CinnCoff!G64*Summary!$C$9</f>
        <v>0</v>
      </c>
      <c r="H64" s="84">
        <f>IO_CinnCoff!H64*Summary!$C$9</f>
        <v>0</v>
      </c>
      <c r="I64" s="84">
        <f>IO_CinnCoff!I64*Summary!$C$9</f>
        <v>0</v>
      </c>
      <c r="J64" s="84">
        <f>IO_CinnCoff!J64*Summary!$C$9</f>
        <v>0</v>
      </c>
      <c r="K64" s="84">
        <f>IO_CinnCoff!K64*Summary!$C$9</f>
        <v>0</v>
      </c>
      <c r="L64" s="84">
        <f>IO_CinnCoff!L64*Summary!$C$9</f>
        <v>0</v>
      </c>
      <c r="M64" s="84">
        <f>IO_CinnCoff!M64*Summary!$C$9</f>
        <v>0</v>
      </c>
      <c r="N64" s="84">
        <f>IO_CinnCoff!N64*Summary!$C$9</f>
        <v>0</v>
      </c>
      <c r="O64" s="84">
        <f>IO_CinnCoff!O64*Summary!$C$9</f>
        <v>0</v>
      </c>
      <c r="P64" s="84">
        <f>IO_CinnCoff!P64*Summary!$C$9</f>
        <v>0</v>
      </c>
      <c r="Q64" s="84">
        <f>IO_CinnCoff!Q64*Summary!$C$9</f>
        <v>0</v>
      </c>
      <c r="R64" s="84">
        <f>IO_CinnCoff!R64*Summary!$C$9</f>
        <v>0</v>
      </c>
      <c r="S64" s="84">
        <f>IO_CinnCoff!S64*Summary!$C$9</f>
        <v>0</v>
      </c>
      <c r="T64" s="84">
        <f>IO_CinnCoff!T64*Summary!$C$9</f>
        <v>0</v>
      </c>
      <c r="U64" s="84">
        <f>IO_CinnCoff!U64*Summary!$C$9</f>
        <v>0</v>
      </c>
      <c r="V64" s="84">
        <f>IO_CinnCoff!V64*Summary!$C$9</f>
        <v>0</v>
      </c>
      <c r="W64" s="84">
        <f>IO_CinnCoff!W64*Summary!$C$9</f>
        <v>0</v>
      </c>
      <c r="X64" s="84">
        <f>IO_CinnCoff!X64*Summary!$C$9</f>
        <v>0</v>
      </c>
      <c r="Y64" s="84">
        <f>IO_CinnCoff!Y64*Summary!$C$9</f>
        <v>0</v>
      </c>
      <c r="Z64" s="84">
        <f>IO_CinnCoff!Z64*Summary!$C$9</f>
        <v>0</v>
      </c>
      <c r="AA64" s="84">
        <f>IO_CinnCoff!AA64*Summary!$C$9</f>
        <v>0</v>
      </c>
      <c r="AB64" s="84">
        <f>IO_CinnCoff!AB64*Summary!$C$9</f>
        <v>0</v>
      </c>
      <c r="AC64" s="84">
        <f>IO_CinnCoff!AC64*Summary!$C$9</f>
        <v>0</v>
      </c>
      <c r="AD64" s="84">
        <f>IO_CinnCoff!AD64*Summary!$C$9</f>
        <v>0</v>
      </c>
      <c r="AE64" s="84">
        <f>IO_CinnCoff!AE64*Summary!$C$9</f>
        <v>0</v>
      </c>
      <c r="AF64" s="84">
        <f>IO_CinnCoff!AF64*Summary!$C$9</f>
        <v>0</v>
      </c>
      <c r="AG64" s="84">
        <f>IO_CinnCoff!AG64*Summary!$C$9</f>
        <v>0</v>
      </c>
      <c r="AH64" s="85"/>
      <c r="AI64" s="85"/>
      <c r="AJ64" s="85"/>
      <c r="AK64" s="85"/>
      <c r="AL64" s="85"/>
      <c r="AM64" s="85"/>
      <c r="AN64" s="85"/>
      <c r="AO64" s="85"/>
      <c r="AP64" s="85"/>
      <c r="AQ64" s="85"/>
      <c r="AR64" s="85"/>
      <c r="AS64" s="85"/>
      <c r="AT64" s="85"/>
      <c r="AU64" s="85"/>
      <c r="AV64" s="85"/>
      <c r="AW64" s="85"/>
      <c r="AX64" s="85"/>
      <c r="AY64" s="85"/>
      <c r="AZ64" s="85"/>
      <c r="BA64" s="85"/>
      <c r="BB64" s="85"/>
      <c r="BC64" s="85"/>
      <c r="BD64" s="85"/>
      <c r="BE64" s="85"/>
      <c r="BF64" s="85"/>
    </row>
    <row r="65" spans="2:58">
      <c r="B65" s="73" t="s">
        <v>136</v>
      </c>
      <c r="C65" s="90" t="s">
        <v>110</v>
      </c>
      <c r="D65" s="84">
        <f>IO_CinnCoff!D65*Summary!$C$9</f>
        <v>0</v>
      </c>
      <c r="E65" s="84">
        <f>IO_CinnCoff!E65*Summary!$C$9</f>
        <v>0</v>
      </c>
      <c r="F65" s="84">
        <f>IO_CinnCoff!F65*Summary!$C$9</f>
        <v>0</v>
      </c>
      <c r="G65" s="84">
        <f>IO_CinnCoff!G65*Summary!$C$9</f>
        <v>0</v>
      </c>
      <c r="H65" s="84">
        <f>IO_CinnCoff!H65*Summary!$C$9</f>
        <v>0</v>
      </c>
      <c r="I65" s="84">
        <f>IO_CinnCoff!I65*Summary!$C$9</f>
        <v>28005.600000000002</v>
      </c>
      <c r="J65" s="84">
        <f>IO_CinnCoff!J65*Summary!$C$9</f>
        <v>42008.399999999994</v>
      </c>
      <c r="K65" s="84">
        <f>IO_CinnCoff!K65*Summary!$C$9</f>
        <v>42008.399999999994</v>
      </c>
      <c r="L65" s="84">
        <f>IO_CinnCoff!L65*Summary!$C$9</f>
        <v>170352</v>
      </c>
      <c r="M65" s="84">
        <f>IO_CinnCoff!M65*Summary!$C$9</f>
        <v>42008.399999999994</v>
      </c>
      <c r="N65" s="84">
        <f>IO_CinnCoff!N65*Summary!$C$9</f>
        <v>274196.99999999994</v>
      </c>
      <c r="O65" s="84">
        <f>IO_CinnCoff!O65*Summary!$C$9</f>
        <v>112022.40000000001</v>
      </c>
      <c r="P65" s="84">
        <f>IO_CinnCoff!P65*Summary!$C$9</f>
        <v>140028</v>
      </c>
      <c r="Q65" s="84">
        <f>IO_CinnCoff!Q65*Summary!$C$9</f>
        <v>373632</v>
      </c>
      <c r="R65" s="84">
        <f>IO_CinnCoff!R65*Summary!$C$9</f>
        <v>0</v>
      </c>
      <c r="S65" s="84">
        <f>IO_CinnCoff!S65*Summary!$C$9</f>
        <v>0</v>
      </c>
      <c r="T65" s="84">
        <f>IO_CinnCoff!T65*Summary!$C$9</f>
        <v>0</v>
      </c>
      <c r="U65" s="84">
        <f>IO_CinnCoff!U65*Summary!$C$9</f>
        <v>0</v>
      </c>
      <c r="V65" s="84">
        <f>IO_CinnCoff!V65*Summary!$C$9</f>
        <v>0</v>
      </c>
      <c r="W65" s="84">
        <f>IO_CinnCoff!W65*Summary!$C$9</f>
        <v>28005.600000000002</v>
      </c>
      <c r="X65" s="84">
        <f>IO_CinnCoff!X65*Summary!$C$9</f>
        <v>42008.399999999994</v>
      </c>
      <c r="Y65" s="84">
        <f>IO_CinnCoff!Y65*Summary!$C$9</f>
        <v>42008.399999999994</v>
      </c>
      <c r="Z65" s="84">
        <f>IO_CinnCoff!Z65*Summary!$C$9</f>
        <v>170352</v>
      </c>
      <c r="AA65" s="84">
        <f>IO_CinnCoff!AA65*Summary!$C$9</f>
        <v>42008.399999999994</v>
      </c>
      <c r="AB65" s="84">
        <f>IO_CinnCoff!AB65*Summary!$C$9</f>
        <v>274196.99999999994</v>
      </c>
      <c r="AC65" s="84">
        <f>IO_CinnCoff!AC65*Summary!$C$9</f>
        <v>112022.40000000001</v>
      </c>
      <c r="AD65" s="84">
        <f>IO_CinnCoff!AD65*Summary!$C$9</f>
        <v>140028</v>
      </c>
      <c r="AE65" s="84">
        <f>IO_CinnCoff!AE65*Summary!$C$9</f>
        <v>373632</v>
      </c>
      <c r="AF65" s="84">
        <f>IO_CinnCoff!AF65*Summary!$C$9</f>
        <v>0</v>
      </c>
      <c r="AG65" s="84">
        <f>IO_CinnCoff!AG65*Summary!$C$9</f>
        <v>0</v>
      </c>
      <c r="AH65" s="85"/>
      <c r="AI65" s="85"/>
      <c r="AJ65" s="85"/>
      <c r="AK65" s="85"/>
      <c r="AL65" s="85"/>
      <c r="AM65" s="85"/>
      <c r="AN65" s="85"/>
      <c r="AO65" s="85"/>
      <c r="AP65" s="85"/>
      <c r="AQ65" s="85"/>
      <c r="AR65" s="85"/>
      <c r="AS65" s="85"/>
      <c r="AT65" s="85"/>
      <c r="AU65" s="85"/>
      <c r="AV65" s="85"/>
      <c r="AW65" s="85"/>
      <c r="AX65" s="85"/>
      <c r="AY65" s="85"/>
      <c r="AZ65" s="85"/>
      <c r="BA65" s="85"/>
      <c r="BB65" s="85"/>
      <c r="BC65" s="85"/>
      <c r="BD65" s="85"/>
      <c r="BE65" s="85"/>
      <c r="BF65" s="85"/>
    </row>
    <row r="66" spans="2:58">
      <c r="B66" s="73" t="s">
        <v>206</v>
      </c>
      <c r="C66" s="90" t="s">
        <v>110</v>
      </c>
      <c r="D66" s="84">
        <f>IO_CinnCoff!D66*Summary!$C$9</f>
        <v>0</v>
      </c>
      <c r="E66" s="84">
        <f>IO_CinnCoff!E66*Summary!$C$9</f>
        <v>0</v>
      </c>
      <c r="F66" s="84">
        <f>IO_CinnCoff!F66*Summary!$C$9</f>
        <v>0</v>
      </c>
      <c r="G66" s="84">
        <f>IO_CinnCoff!G66*Summary!$C$9</f>
        <v>0</v>
      </c>
      <c r="H66" s="84">
        <f>IO_CinnCoff!H66*Summary!$C$9</f>
        <v>0</v>
      </c>
      <c r="I66" s="84">
        <f>IO_CinnCoff!I66*Summary!$C$9</f>
        <v>105021</v>
      </c>
      <c r="J66" s="84">
        <f>IO_CinnCoff!J66*Summary!$C$9</f>
        <v>183786.74999999994</v>
      </c>
      <c r="K66" s="84">
        <f>IO_CinnCoff!K66*Summary!$C$9</f>
        <v>210041.99999999997</v>
      </c>
      <c r="L66" s="84">
        <f>IO_CinnCoff!L66*Summary!$C$9</f>
        <v>936936.00000000012</v>
      </c>
      <c r="M66" s="84">
        <f>IO_CinnCoff!M66*Summary!$C$9</f>
        <v>227545.49999999994</v>
      </c>
      <c r="N66" s="84">
        <f>IO_CinnCoff!N66*Summary!$C$9</f>
        <v>1499514.84375</v>
      </c>
      <c r="O66" s="84">
        <f>IO_CinnCoff!O66*Summary!$C$9</f>
        <v>620124.00000000012</v>
      </c>
      <c r="P66" s="84">
        <f>IO_CinnCoff!P66*Summary!$C$9</f>
        <v>765778.12500000012</v>
      </c>
      <c r="Q66" s="84">
        <f>IO_CinnCoff!Q66*Summary!$C$9</f>
        <v>2101680</v>
      </c>
      <c r="R66" s="84">
        <f>IO_CinnCoff!R66*Summary!$C$9</f>
        <v>0</v>
      </c>
      <c r="S66" s="84">
        <f>IO_CinnCoff!S66*Summary!$C$9</f>
        <v>0</v>
      </c>
      <c r="T66" s="84">
        <f>IO_CinnCoff!T66*Summary!$C$9</f>
        <v>0</v>
      </c>
      <c r="U66" s="84">
        <f>IO_CinnCoff!U66*Summary!$C$9</f>
        <v>0</v>
      </c>
      <c r="V66" s="84">
        <f>IO_CinnCoff!V66*Summary!$C$9</f>
        <v>0</v>
      </c>
      <c r="W66" s="84">
        <f>IO_CinnCoff!W66*Summary!$C$9</f>
        <v>105021</v>
      </c>
      <c r="X66" s="84">
        <f>IO_CinnCoff!X66*Summary!$C$9</f>
        <v>183786.74999999994</v>
      </c>
      <c r="Y66" s="84">
        <f>IO_CinnCoff!Y66*Summary!$C$9</f>
        <v>210041.99999999997</v>
      </c>
      <c r="Z66" s="84">
        <f>IO_CinnCoff!Z66*Summary!$C$9</f>
        <v>936936.00000000012</v>
      </c>
      <c r="AA66" s="84">
        <f>IO_CinnCoff!AA66*Summary!$C$9</f>
        <v>231046.19999999995</v>
      </c>
      <c r="AB66" s="84">
        <f>IO_CinnCoff!AB66*Summary!$C$9</f>
        <v>1508083.4999999998</v>
      </c>
      <c r="AC66" s="84">
        <f>IO_CinnCoff!AC66*Summary!$C$9</f>
        <v>616123.20000000007</v>
      </c>
      <c r="AD66" s="84">
        <f>IO_CinnCoff!AD66*Summary!$C$9</f>
        <v>770153.99999999988</v>
      </c>
      <c r="AE66" s="84">
        <f>IO_CinnCoff!AE66*Summary!$C$9</f>
        <v>2054976.0000000002</v>
      </c>
      <c r="AF66" s="84">
        <f>IO_CinnCoff!AF66*Summary!$C$9</f>
        <v>0</v>
      </c>
      <c r="AG66" s="84">
        <f>IO_CinnCoff!AG66*Summary!$C$9</f>
        <v>0</v>
      </c>
      <c r="AH66" s="85"/>
      <c r="AI66" s="85"/>
      <c r="AJ66" s="85"/>
      <c r="AK66" s="85"/>
      <c r="AL66" s="85"/>
      <c r="AM66" s="85"/>
      <c r="AN66" s="85"/>
      <c r="AO66" s="85"/>
      <c r="AP66" s="85"/>
      <c r="AQ66" s="85"/>
      <c r="AR66" s="85"/>
      <c r="AS66" s="85"/>
      <c r="AT66" s="85"/>
      <c r="AU66" s="85"/>
      <c r="AV66" s="85"/>
      <c r="AW66" s="85"/>
      <c r="AX66" s="85"/>
      <c r="AY66" s="85"/>
      <c r="AZ66" s="85"/>
      <c r="BA66" s="85"/>
      <c r="BB66" s="85"/>
      <c r="BC66" s="85"/>
      <c r="BD66" s="85"/>
      <c r="BE66" s="85"/>
      <c r="BF66" s="85"/>
    </row>
    <row r="67" spans="2:58">
      <c r="B67" s="73" t="s">
        <v>138</v>
      </c>
      <c r="C67" s="90" t="s">
        <v>110</v>
      </c>
      <c r="D67" s="84">
        <f>IO_CinnCoff!D67*Summary!$C$9</f>
        <v>0</v>
      </c>
      <c r="E67" s="84">
        <f>IO_CinnCoff!E67*Summary!$C$9</f>
        <v>0</v>
      </c>
      <c r="F67" s="84">
        <f>IO_CinnCoff!F67*Summary!$C$9</f>
        <v>0</v>
      </c>
      <c r="G67" s="84">
        <f>IO_CinnCoff!G67*Summary!$C$9</f>
        <v>0</v>
      </c>
      <c r="H67" s="84">
        <f>IO_CinnCoff!H67*Summary!$C$9</f>
        <v>0</v>
      </c>
      <c r="I67" s="84">
        <f>IO_CinnCoff!I67*Summary!$C$9</f>
        <v>11202.24</v>
      </c>
      <c r="J67" s="84">
        <f>IO_CinnCoff!J67*Summary!$C$9</f>
        <v>16803.36</v>
      </c>
      <c r="K67" s="84">
        <f>IO_CinnCoff!K67*Summary!$C$9</f>
        <v>16803.36</v>
      </c>
      <c r="L67" s="84">
        <f>IO_CinnCoff!L67*Summary!$C$9</f>
        <v>68140.800000000003</v>
      </c>
      <c r="M67" s="84">
        <f>IO_CinnCoff!M67*Summary!$C$9</f>
        <v>16803.36</v>
      </c>
      <c r="N67" s="84">
        <f>IO_CinnCoff!N67*Summary!$C$9</f>
        <v>109678.79999999999</v>
      </c>
      <c r="O67" s="84">
        <f>IO_CinnCoff!O67*Summary!$C$9</f>
        <v>44808.959999999999</v>
      </c>
      <c r="P67" s="84">
        <f>IO_CinnCoff!P67*Summary!$C$9</f>
        <v>56011.199999999997</v>
      </c>
      <c r="Q67" s="84">
        <f>IO_CinnCoff!Q67*Summary!$C$9</f>
        <v>149452.80000000002</v>
      </c>
      <c r="R67" s="84">
        <f>IO_CinnCoff!R67*Summary!$C$9</f>
        <v>0</v>
      </c>
      <c r="S67" s="84">
        <f>IO_CinnCoff!S67*Summary!$C$9</f>
        <v>0</v>
      </c>
      <c r="T67" s="84">
        <f>IO_CinnCoff!T67*Summary!$C$9</f>
        <v>0</v>
      </c>
      <c r="U67" s="84">
        <f>IO_CinnCoff!U67*Summary!$C$9</f>
        <v>0</v>
      </c>
      <c r="V67" s="84">
        <f>IO_CinnCoff!V67*Summary!$C$9</f>
        <v>0</v>
      </c>
      <c r="W67" s="84">
        <f>IO_CinnCoff!W67*Summary!$C$9</f>
        <v>11202.24</v>
      </c>
      <c r="X67" s="84">
        <f>IO_CinnCoff!X67*Summary!$C$9</f>
        <v>16803.36</v>
      </c>
      <c r="Y67" s="84">
        <f>IO_CinnCoff!Y67*Summary!$C$9</f>
        <v>16803.36</v>
      </c>
      <c r="Z67" s="84">
        <f>IO_CinnCoff!Z67*Summary!$C$9</f>
        <v>68140.800000000003</v>
      </c>
      <c r="AA67" s="84">
        <f>IO_CinnCoff!AA67*Summary!$C$9</f>
        <v>16803.36</v>
      </c>
      <c r="AB67" s="84">
        <f>IO_CinnCoff!AB67*Summary!$C$9</f>
        <v>109678.79999999999</v>
      </c>
      <c r="AC67" s="84">
        <f>IO_CinnCoff!AC67*Summary!$C$9</f>
        <v>44808.959999999999</v>
      </c>
      <c r="AD67" s="84">
        <f>IO_CinnCoff!AD67*Summary!$C$9</f>
        <v>56011.199999999997</v>
      </c>
      <c r="AE67" s="84">
        <f>IO_CinnCoff!AE67*Summary!$C$9</f>
        <v>149452.80000000002</v>
      </c>
      <c r="AF67" s="84">
        <f>IO_CinnCoff!AF67*Summary!$C$9</f>
        <v>0</v>
      </c>
      <c r="AG67" s="84">
        <f>IO_CinnCoff!AG67*Summary!$C$9</f>
        <v>0</v>
      </c>
      <c r="AH67" s="85"/>
      <c r="AI67" s="85"/>
      <c r="AJ67" s="85"/>
      <c r="AK67" s="85"/>
      <c r="AL67" s="85"/>
      <c r="AM67" s="85"/>
      <c r="AN67" s="85"/>
      <c r="AO67" s="85"/>
      <c r="AP67" s="85"/>
      <c r="AQ67" s="85"/>
      <c r="AR67" s="85"/>
      <c r="AS67" s="85"/>
      <c r="AT67" s="85"/>
      <c r="AU67" s="85"/>
      <c r="AV67" s="85"/>
      <c r="AW67" s="85"/>
      <c r="AX67" s="85"/>
      <c r="AY67" s="85"/>
      <c r="AZ67" s="85"/>
      <c r="BA67" s="85"/>
      <c r="BB67" s="85"/>
      <c r="BC67" s="85"/>
      <c r="BD67" s="85"/>
      <c r="BE67" s="85"/>
      <c r="BF67" s="85"/>
    </row>
    <row r="68" spans="2:58">
      <c r="B68" s="73" t="s">
        <v>168</v>
      </c>
      <c r="C68" s="90" t="s">
        <v>110</v>
      </c>
      <c r="D68" s="84">
        <f>IO_CinnCoff!D68*Summary!$C$9</f>
        <v>0</v>
      </c>
      <c r="E68" s="84">
        <f>IO_CinnCoff!E68*Summary!$C$9</f>
        <v>0</v>
      </c>
      <c r="F68" s="84">
        <f>IO_CinnCoff!F68*Summary!$C$9</f>
        <v>0</v>
      </c>
      <c r="G68" s="84">
        <f>IO_CinnCoff!G68*Summary!$C$9</f>
        <v>0</v>
      </c>
      <c r="H68" s="84">
        <f>IO_CinnCoff!H68*Summary!$C$9</f>
        <v>0</v>
      </c>
      <c r="I68" s="84">
        <f>IO_CinnCoff!I68*Summary!$C$9</f>
        <v>0</v>
      </c>
      <c r="J68" s="84">
        <f>IO_CinnCoff!J68*Summary!$C$9</f>
        <v>0</v>
      </c>
      <c r="K68" s="84">
        <f>IO_CinnCoff!K68*Summary!$C$9</f>
        <v>0</v>
      </c>
      <c r="L68" s="84">
        <f>IO_CinnCoff!L68*Summary!$C$9</f>
        <v>0</v>
      </c>
      <c r="M68" s="84">
        <f>IO_CinnCoff!M68*Summary!$C$9</f>
        <v>0</v>
      </c>
      <c r="N68" s="84">
        <f>IO_CinnCoff!N68*Summary!$C$9</f>
        <v>0</v>
      </c>
      <c r="O68" s="84">
        <f>IO_CinnCoff!O68*Summary!$C$9</f>
        <v>0</v>
      </c>
      <c r="P68" s="84">
        <f>IO_CinnCoff!P68*Summary!$C$9</f>
        <v>0</v>
      </c>
      <c r="Q68" s="84">
        <f>IO_CinnCoff!Q68*Summary!$C$9</f>
        <v>152031.25</v>
      </c>
      <c r="R68" s="84">
        <f>IO_CinnCoff!R68*Summary!$C$9</f>
        <v>0</v>
      </c>
      <c r="S68" s="84">
        <f>IO_CinnCoff!S68*Summary!$C$9</f>
        <v>0</v>
      </c>
      <c r="T68" s="84">
        <f>IO_CinnCoff!T68*Summary!$C$9</f>
        <v>0</v>
      </c>
      <c r="U68" s="84">
        <f>IO_CinnCoff!U68*Summary!$C$9</f>
        <v>0</v>
      </c>
      <c r="V68" s="84">
        <f>IO_CinnCoff!V68*Summary!$C$9</f>
        <v>0</v>
      </c>
      <c r="W68" s="84">
        <f>IO_CinnCoff!W68*Summary!$C$9</f>
        <v>0</v>
      </c>
      <c r="X68" s="84">
        <f>IO_CinnCoff!X68*Summary!$C$9</f>
        <v>0</v>
      </c>
      <c r="Y68" s="84">
        <f>IO_CinnCoff!Y68*Summary!$C$9</f>
        <v>0</v>
      </c>
      <c r="Z68" s="84">
        <f>IO_CinnCoff!Z68*Summary!$C$9</f>
        <v>0</v>
      </c>
      <c r="AA68" s="84">
        <f>IO_CinnCoff!AA68*Summary!$C$9</f>
        <v>0</v>
      </c>
      <c r="AB68" s="84">
        <f>IO_CinnCoff!AB68*Summary!$C$9</f>
        <v>0</v>
      </c>
      <c r="AC68" s="84">
        <f>IO_CinnCoff!AC68*Summary!$C$9</f>
        <v>0</v>
      </c>
      <c r="AD68" s="84">
        <f>IO_CinnCoff!AD68*Summary!$C$9</f>
        <v>0</v>
      </c>
      <c r="AE68" s="84">
        <f>IO_CinnCoff!AE68*Summary!$C$9</f>
        <v>0</v>
      </c>
      <c r="AF68" s="84">
        <f>IO_CinnCoff!AF68*Summary!$C$9</f>
        <v>0</v>
      </c>
      <c r="AG68" s="84">
        <f>IO_CinnCoff!AG68*Summary!$C$9</f>
        <v>0</v>
      </c>
      <c r="AH68" s="85"/>
      <c r="AI68" s="85"/>
      <c r="AJ68" s="85"/>
      <c r="AK68" s="85"/>
      <c r="AL68" s="85"/>
      <c r="AM68" s="85"/>
      <c r="AN68" s="85"/>
      <c r="AO68" s="85"/>
      <c r="AP68" s="85"/>
      <c r="AQ68" s="85"/>
      <c r="AR68" s="85"/>
      <c r="AS68" s="85"/>
      <c r="AT68" s="85"/>
      <c r="AU68" s="85"/>
      <c r="AV68" s="85"/>
      <c r="AW68" s="85"/>
      <c r="AX68" s="85"/>
      <c r="AY68" s="85"/>
      <c r="AZ68" s="85"/>
      <c r="BA68" s="85"/>
      <c r="BB68" s="85"/>
      <c r="BC68" s="85"/>
      <c r="BD68" s="85"/>
      <c r="BE68" s="85"/>
      <c r="BF68" s="85"/>
    </row>
    <row r="69" spans="2:58">
      <c r="B69" s="63" t="s">
        <v>163</v>
      </c>
      <c r="C69" s="90" t="s">
        <v>110</v>
      </c>
      <c r="D69" s="84">
        <f>IO_CinnCoff!D69*Summary!$C$9</f>
        <v>0</v>
      </c>
      <c r="E69" s="84">
        <f>IO_CinnCoff!E69*Summary!$C$9</f>
        <v>0</v>
      </c>
      <c r="F69" s="84">
        <f>IO_CinnCoff!F69*Summary!$C$9</f>
        <v>1166.6666666666667</v>
      </c>
      <c r="G69" s="84">
        <f>IO_CinnCoff!G69*Summary!$C$9</f>
        <v>11666.666666666666</v>
      </c>
      <c r="H69" s="84">
        <f>IO_CinnCoff!H69*Summary!$C$9</f>
        <v>28000</v>
      </c>
      <c r="I69" s="84">
        <f>IO_CinnCoff!I69*Summary!$C$9</f>
        <v>32666.666666666668</v>
      </c>
      <c r="J69" s="84">
        <f>IO_CinnCoff!J69*Summary!$C$9</f>
        <v>21000</v>
      </c>
      <c r="K69" s="84">
        <f>IO_CinnCoff!K69*Summary!$C$9</f>
        <v>11666.666666666666</v>
      </c>
      <c r="L69" s="84">
        <f>IO_CinnCoff!L69*Summary!$C$9</f>
        <v>7000</v>
      </c>
      <c r="M69" s="84">
        <f>IO_CinnCoff!M69*Summary!$C$9</f>
        <v>0</v>
      </c>
      <c r="N69" s="84">
        <f>IO_CinnCoff!N69*Summary!$C$9</f>
        <v>0</v>
      </c>
      <c r="O69" s="84">
        <f>IO_CinnCoff!O69*Summary!$C$9</f>
        <v>0</v>
      </c>
      <c r="P69" s="84">
        <f>IO_CinnCoff!P69*Summary!$C$9</f>
        <v>0</v>
      </c>
      <c r="Q69" s="84">
        <f>IO_CinnCoff!Q69*Summary!$C$9</f>
        <v>0</v>
      </c>
      <c r="R69" s="84">
        <f>IO_CinnCoff!R69*Summary!$C$9</f>
        <v>0</v>
      </c>
      <c r="S69" s="84">
        <f>IO_CinnCoff!S69*Summary!$C$9</f>
        <v>0</v>
      </c>
      <c r="T69" s="84">
        <f>IO_CinnCoff!T69*Summary!$C$9</f>
        <v>1166.6666666666667</v>
      </c>
      <c r="U69" s="84">
        <f>IO_CinnCoff!U69*Summary!$C$9</f>
        <v>11666.666666666666</v>
      </c>
      <c r="V69" s="84">
        <f>IO_CinnCoff!V69*Summary!$C$9</f>
        <v>28000</v>
      </c>
      <c r="W69" s="84">
        <f>IO_CinnCoff!W69*Summary!$C$9</f>
        <v>32666.666666666668</v>
      </c>
      <c r="X69" s="84">
        <f>IO_CinnCoff!X69*Summary!$C$9</f>
        <v>21000</v>
      </c>
      <c r="Y69" s="84">
        <f>IO_CinnCoff!Y69*Summary!$C$9</f>
        <v>11666.666666666666</v>
      </c>
      <c r="Z69" s="84">
        <f>IO_CinnCoff!Z69*Summary!$C$9</f>
        <v>7000</v>
      </c>
      <c r="AA69" s="84">
        <f>IO_CinnCoff!AA69*Summary!$C$9</f>
        <v>0</v>
      </c>
      <c r="AB69" s="84">
        <f>IO_CinnCoff!AB69*Summary!$C$9</f>
        <v>0</v>
      </c>
      <c r="AC69" s="84">
        <f>IO_CinnCoff!AC69*Summary!$C$9</f>
        <v>0</v>
      </c>
      <c r="AD69" s="84">
        <f>IO_CinnCoff!AD69*Summary!$C$9</f>
        <v>0</v>
      </c>
      <c r="AE69" s="84">
        <f>IO_CinnCoff!AE69*Summary!$C$9</f>
        <v>0</v>
      </c>
      <c r="AF69" s="84">
        <f>IO_CinnCoff!AF69*Summary!$C$9</f>
        <v>0</v>
      </c>
      <c r="AG69" s="84">
        <f>IO_CinnCoff!AG69*Summary!$C$9</f>
        <v>0</v>
      </c>
      <c r="AH69" s="85"/>
      <c r="AI69" s="85"/>
      <c r="AJ69" s="85"/>
      <c r="AK69" s="85"/>
      <c r="AL69" s="85"/>
      <c r="AM69" s="85"/>
      <c r="AN69" s="85"/>
      <c r="AO69" s="85"/>
      <c r="AP69" s="85"/>
      <c r="AQ69" s="85"/>
      <c r="AR69" s="85"/>
      <c r="AS69" s="85"/>
      <c r="AT69" s="85"/>
      <c r="AU69" s="85"/>
      <c r="AV69" s="85"/>
      <c r="AW69" s="85"/>
      <c r="AX69" s="85"/>
      <c r="AY69" s="85"/>
      <c r="AZ69" s="85"/>
      <c r="BA69" s="85"/>
      <c r="BB69" s="85"/>
      <c r="BC69" s="85"/>
      <c r="BD69" s="85"/>
      <c r="BE69" s="85"/>
      <c r="BF69" s="85"/>
    </row>
    <row r="70" spans="2:58">
      <c r="B70" s="64"/>
      <c r="C70" s="65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5"/>
      <c r="AI70" s="85"/>
      <c r="AJ70" s="85"/>
      <c r="AK70" s="85"/>
      <c r="AL70" s="85"/>
      <c r="AM70" s="85"/>
      <c r="AN70" s="85"/>
      <c r="AO70" s="85"/>
      <c r="AP70" s="85"/>
      <c r="AQ70" s="85"/>
      <c r="AR70" s="85"/>
      <c r="AS70" s="85"/>
      <c r="AT70" s="85"/>
      <c r="AU70" s="85"/>
      <c r="AV70" s="85"/>
      <c r="AW70" s="85"/>
      <c r="AX70" s="85"/>
      <c r="AY70" s="85"/>
      <c r="AZ70" s="85"/>
      <c r="BA70" s="85"/>
      <c r="BB70" s="85"/>
      <c r="BC70" s="85"/>
      <c r="BD70" s="85"/>
      <c r="BE70" s="85"/>
      <c r="BF70" s="85"/>
    </row>
    <row r="71" spans="2:58">
      <c r="B71" s="64" t="s">
        <v>139</v>
      </c>
      <c r="C71" s="65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5"/>
      <c r="AI71" s="85"/>
      <c r="AJ71" s="85"/>
      <c r="AK71" s="85"/>
      <c r="AL71" s="85"/>
      <c r="AM71" s="85"/>
      <c r="AN71" s="85"/>
      <c r="AO71" s="85"/>
      <c r="AP71" s="85"/>
      <c r="AQ71" s="85"/>
      <c r="AR71" s="85"/>
      <c r="AS71" s="85"/>
      <c r="AT71" s="85"/>
      <c r="AU71" s="85"/>
      <c r="AV71" s="85"/>
      <c r="AW71" s="85"/>
      <c r="AX71" s="85"/>
      <c r="AY71" s="85"/>
      <c r="AZ71" s="85"/>
      <c r="BA71" s="85"/>
      <c r="BB71" s="85"/>
      <c r="BC71" s="85"/>
      <c r="BD71" s="85"/>
      <c r="BE71" s="85"/>
      <c r="BF71" s="85"/>
    </row>
    <row r="72" spans="2:58">
      <c r="B72" s="63" t="s">
        <v>172</v>
      </c>
      <c r="C72" s="90" t="s">
        <v>110</v>
      </c>
      <c r="D72" s="84">
        <f>IO_CinnCoff!D72*Summary!$C$9</f>
        <v>0</v>
      </c>
      <c r="E72" s="84">
        <f>IO_CinnCoff!E72*Summary!$C$9</f>
        <v>0</v>
      </c>
      <c r="F72" s="84">
        <f>IO_CinnCoff!F72*Summary!$C$9</f>
        <v>0</v>
      </c>
      <c r="G72" s="84">
        <f>IO_CinnCoff!G72*Summary!$C$9</f>
        <v>0</v>
      </c>
      <c r="H72" s="84">
        <f>IO_CinnCoff!H72*Summary!$C$9</f>
        <v>0</v>
      </c>
      <c r="I72" s="84">
        <f>IO_CinnCoff!I72*Summary!$C$9</f>
        <v>0</v>
      </c>
      <c r="J72" s="84">
        <f>IO_CinnCoff!J72*Summary!$C$9</f>
        <v>0</v>
      </c>
      <c r="K72" s="84">
        <f>IO_CinnCoff!K72*Summary!$C$9</f>
        <v>0</v>
      </c>
      <c r="L72" s="84">
        <f>IO_CinnCoff!L72*Summary!$C$9</f>
        <v>0</v>
      </c>
      <c r="M72" s="84">
        <f>IO_CinnCoff!M72*Summary!$C$9</f>
        <v>0</v>
      </c>
      <c r="N72" s="84">
        <f>IO_CinnCoff!N72*Summary!$C$9</f>
        <v>0</v>
      </c>
      <c r="O72" s="84">
        <f>IO_CinnCoff!O72*Summary!$C$9</f>
        <v>0</v>
      </c>
      <c r="P72" s="84">
        <f>IO_CinnCoff!P72*Summary!$C$9</f>
        <v>0</v>
      </c>
      <c r="Q72" s="84">
        <f>IO_CinnCoff!Q72*Summary!$C$9</f>
        <v>0</v>
      </c>
      <c r="R72" s="84">
        <f>IO_CinnCoff!R72*Summary!$C$9</f>
        <v>0</v>
      </c>
      <c r="S72" s="84">
        <f>IO_CinnCoff!S72*Summary!$C$9</f>
        <v>0</v>
      </c>
      <c r="T72" s="84">
        <f>IO_CinnCoff!T72*Summary!$C$9</f>
        <v>0</v>
      </c>
      <c r="U72" s="84">
        <f>IO_CinnCoff!U72*Summary!$C$9</f>
        <v>0</v>
      </c>
      <c r="V72" s="84">
        <f>IO_CinnCoff!V72*Summary!$C$9</f>
        <v>0</v>
      </c>
      <c r="W72" s="84">
        <f>IO_CinnCoff!W72*Summary!$C$9</f>
        <v>0</v>
      </c>
      <c r="X72" s="84">
        <f>IO_CinnCoff!X72*Summary!$C$9</f>
        <v>0</v>
      </c>
      <c r="Y72" s="84">
        <f>IO_CinnCoff!Y72*Summary!$C$9</f>
        <v>0</v>
      </c>
      <c r="Z72" s="84">
        <f>IO_CinnCoff!Z72*Summary!$C$9</f>
        <v>0</v>
      </c>
      <c r="AA72" s="84">
        <f>IO_CinnCoff!AA72*Summary!$C$9</f>
        <v>0</v>
      </c>
      <c r="AB72" s="84">
        <f>IO_CinnCoff!AB72*Summary!$C$9</f>
        <v>0</v>
      </c>
      <c r="AC72" s="84">
        <f>IO_CinnCoff!AC72*Summary!$C$9</f>
        <v>0</v>
      </c>
      <c r="AD72" s="84">
        <f>IO_CinnCoff!AD72*Summary!$C$9</f>
        <v>0</v>
      </c>
      <c r="AE72" s="84">
        <f>IO_CinnCoff!AE72*Summary!$C$9</f>
        <v>0</v>
      </c>
      <c r="AF72" s="84">
        <f>IO_CinnCoff!AF72*Summary!$C$9</f>
        <v>0</v>
      </c>
      <c r="AG72" s="84">
        <f>IO_CinnCoff!AG72*Summary!$C$9</f>
        <v>0</v>
      </c>
      <c r="AH72" s="85"/>
      <c r="AI72" s="85"/>
      <c r="AJ72" s="85"/>
      <c r="AK72" s="85"/>
      <c r="AL72" s="85"/>
      <c r="AM72" s="85"/>
      <c r="AN72" s="85"/>
      <c r="AO72" s="85"/>
      <c r="AP72" s="85"/>
      <c r="AQ72" s="85"/>
      <c r="AR72" s="85"/>
      <c r="AS72" s="85"/>
      <c r="AT72" s="85"/>
      <c r="AU72" s="85"/>
      <c r="AV72" s="85"/>
      <c r="AW72" s="85"/>
      <c r="AX72" s="85"/>
      <c r="AY72" s="85"/>
      <c r="AZ72" s="85"/>
      <c r="BA72" s="85"/>
      <c r="BB72" s="85"/>
      <c r="BC72" s="85"/>
      <c r="BD72" s="85"/>
      <c r="BE72" s="85"/>
      <c r="BF72" s="85"/>
    </row>
    <row r="73" spans="2:58">
      <c r="B73" s="95"/>
      <c r="C73" s="66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5"/>
      <c r="AI73" s="85"/>
      <c r="AJ73" s="85"/>
      <c r="AK73" s="85"/>
      <c r="AL73" s="85"/>
      <c r="AM73" s="85"/>
      <c r="AN73" s="85"/>
      <c r="AO73" s="85"/>
      <c r="AP73" s="85"/>
      <c r="AQ73" s="85"/>
      <c r="AR73" s="85"/>
      <c r="AS73" s="85"/>
      <c r="AT73" s="85"/>
      <c r="AU73" s="85"/>
      <c r="AV73" s="85"/>
      <c r="AW73" s="85"/>
      <c r="AX73" s="85"/>
      <c r="AY73" s="85"/>
      <c r="AZ73" s="85"/>
      <c r="BA73" s="85"/>
      <c r="BB73" s="85"/>
      <c r="BC73" s="85"/>
      <c r="BD73" s="85"/>
      <c r="BE73" s="85"/>
      <c r="BF73" s="85"/>
    </row>
    <row r="74" spans="2:58" ht="15.6">
      <c r="B74" s="96" t="s">
        <v>171</v>
      </c>
      <c r="C74" s="65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5"/>
      <c r="AI74" s="85"/>
      <c r="AJ74" s="85"/>
      <c r="AK74" s="85"/>
      <c r="AL74" s="85"/>
      <c r="AM74" s="85"/>
      <c r="AN74" s="85"/>
      <c r="AO74" s="85"/>
      <c r="AP74" s="85"/>
      <c r="AQ74" s="85"/>
      <c r="AR74" s="85"/>
      <c r="AS74" s="85"/>
      <c r="AT74" s="85"/>
      <c r="AU74" s="85"/>
      <c r="AV74" s="85"/>
      <c r="AW74" s="85"/>
      <c r="AX74" s="85"/>
      <c r="AY74" s="85"/>
      <c r="AZ74" s="85"/>
      <c r="BA74" s="85"/>
      <c r="BB74" s="85"/>
      <c r="BC74" s="85"/>
      <c r="BD74" s="85"/>
      <c r="BE74" s="85"/>
      <c r="BF74" s="85"/>
    </row>
    <row r="75" spans="2:58" ht="15.6">
      <c r="B75" s="58" t="s">
        <v>79</v>
      </c>
      <c r="C75" s="90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5"/>
      <c r="AI75" s="85"/>
      <c r="AJ75" s="85"/>
      <c r="AK75" s="85"/>
      <c r="AL75" s="85"/>
      <c r="AM75" s="85"/>
      <c r="AN75" s="85"/>
      <c r="AO75" s="85"/>
      <c r="AP75" s="85"/>
      <c r="AQ75" s="85"/>
      <c r="AR75" s="85"/>
      <c r="AS75" s="85"/>
      <c r="AT75" s="85"/>
      <c r="AU75" s="85"/>
      <c r="AV75" s="85"/>
      <c r="AW75" s="85"/>
      <c r="AX75" s="85"/>
      <c r="AY75" s="85"/>
      <c r="AZ75" s="85"/>
      <c r="BA75" s="85"/>
      <c r="BB75" s="85"/>
      <c r="BC75" s="85"/>
      <c r="BD75" s="85"/>
      <c r="BE75" s="85"/>
      <c r="BF75" s="85"/>
    </row>
    <row r="76" spans="2:58">
      <c r="B76" s="67" t="s">
        <v>170</v>
      </c>
      <c r="C76" s="92" t="s">
        <v>29</v>
      </c>
      <c r="D76" s="84">
        <f t="shared" ref="D76:AG76" si="0">0.04*D96</f>
        <v>0</v>
      </c>
      <c r="E76" s="84">
        <f t="shared" si="0"/>
        <v>0</v>
      </c>
      <c r="F76" s="84">
        <f t="shared" si="0"/>
        <v>0</v>
      </c>
      <c r="G76" s="84">
        <f t="shared" si="0"/>
        <v>0</v>
      </c>
      <c r="H76" s="84">
        <f t="shared" si="0"/>
        <v>0</v>
      </c>
      <c r="I76" s="84">
        <f t="shared" si="0"/>
        <v>0</v>
      </c>
      <c r="J76" s="84">
        <f t="shared" si="0"/>
        <v>0</v>
      </c>
      <c r="K76" s="84">
        <f t="shared" si="0"/>
        <v>0</v>
      </c>
      <c r="L76" s="84">
        <f t="shared" si="0"/>
        <v>0</v>
      </c>
      <c r="M76" s="84">
        <f t="shared" si="0"/>
        <v>0</v>
      </c>
      <c r="N76" s="84">
        <f t="shared" si="0"/>
        <v>0</v>
      </c>
      <c r="O76" s="84">
        <f t="shared" si="0"/>
        <v>0</v>
      </c>
      <c r="P76" s="84">
        <f t="shared" si="0"/>
        <v>0</v>
      </c>
      <c r="Q76" s="84">
        <f t="shared" si="0"/>
        <v>0</v>
      </c>
      <c r="R76" s="84">
        <f t="shared" si="0"/>
        <v>0</v>
      </c>
      <c r="S76" s="84">
        <f t="shared" si="0"/>
        <v>0</v>
      </c>
      <c r="T76" s="84">
        <f t="shared" si="0"/>
        <v>0</v>
      </c>
      <c r="U76" s="84">
        <f t="shared" si="0"/>
        <v>0</v>
      </c>
      <c r="V76" s="84">
        <f t="shared" si="0"/>
        <v>0</v>
      </c>
      <c r="W76" s="84">
        <f t="shared" si="0"/>
        <v>0</v>
      </c>
      <c r="X76" s="84">
        <f t="shared" si="0"/>
        <v>0</v>
      </c>
      <c r="Y76" s="84">
        <f t="shared" si="0"/>
        <v>0</v>
      </c>
      <c r="Z76" s="84">
        <f t="shared" si="0"/>
        <v>0</v>
      </c>
      <c r="AA76" s="84">
        <f t="shared" si="0"/>
        <v>0</v>
      </c>
      <c r="AB76" s="84">
        <f t="shared" si="0"/>
        <v>0</v>
      </c>
      <c r="AC76" s="84">
        <f t="shared" si="0"/>
        <v>0</v>
      </c>
      <c r="AD76" s="84">
        <f t="shared" si="0"/>
        <v>0</v>
      </c>
      <c r="AE76" s="84">
        <f t="shared" si="0"/>
        <v>0</v>
      </c>
      <c r="AF76" s="84">
        <f t="shared" si="0"/>
        <v>0</v>
      </c>
      <c r="AG76" s="84">
        <f t="shared" si="0"/>
        <v>0</v>
      </c>
      <c r="AH76" s="85"/>
      <c r="AI76" s="85"/>
      <c r="AJ76" s="85"/>
      <c r="AK76" s="85"/>
      <c r="AL76" s="85"/>
      <c r="AM76" s="85"/>
      <c r="AN76" s="85"/>
      <c r="AO76" s="85"/>
      <c r="AP76" s="85"/>
      <c r="AQ76" s="85"/>
      <c r="AR76" s="85"/>
      <c r="AS76" s="85"/>
      <c r="AT76" s="85"/>
      <c r="AU76" s="85"/>
      <c r="AV76" s="85"/>
      <c r="AW76" s="85"/>
      <c r="AX76" s="85"/>
      <c r="AY76" s="85"/>
      <c r="AZ76" s="85"/>
      <c r="BA76" s="85"/>
      <c r="BB76" s="85"/>
      <c r="BC76" s="85"/>
      <c r="BD76" s="85"/>
      <c r="BE76" s="85"/>
      <c r="BF76" s="85"/>
    </row>
    <row r="77" spans="2:58">
      <c r="B77" s="67" t="s">
        <v>169</v>
      </c>
      <c r="C77" s="90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5"/>
      <c r="AI77" s="85"/>
      <c r="AJ77" s="85"/>
      <c r="AK77" s="85"/>
      <c r="AL77" s="85"/>
      <c r="AM77" s="85"/>
      <c r="AN77" s="85"/>
      <c r="AO77" s="85"/>
      <c r="AP77" s="85"/>
      <c r="AQ77" s="85"/>
      <c r="AR77" s="85"/>
      <c r="AS77" s="85"/>
      <c r="AT77" s="85"/>
      <c r="AU77" s="85"/>
      <c r="AV77" s="85"/>
      <c r="AW77" s="85"/>
      <c r="AX77" s="85"/>
      <c r="AY77" s="85"/>
      <c r="AZ77" s="85"/>
      <c r="BA77" s="85"/>
      <c r="BB77" s="85"/>
      <c r="BC77" s="85"/>
      <c r="BD77" s="85"/>
      <c r="BE77" s="85"/>
      <c r="BF77" s="85"/>
    </row>
    <row r="78" spans="2:58">
      <c r="B78" s="72" t="s">
        <v>183</v>
      </c>
      <c r="C78" s="90" t="s">
        <v>29</v>
      </c>
      <c r="D78" s="84">
        <f>IO_CinnCoff!D78*Prices!$P$9</f>
        <v>0</v>
      </c>
      <c r="E78" s="84">
        <f>IO_CinnCoff!E78*Prices!$P$9</f>
        <v>0</v>
      </c>
      <c r="F78" s="84">
        <f>IO_CinnCoff!F78*Prices!$P$9</f>
        <v>0</v>
      </c>
      <c r="G78" s="84">
        <f>IO_CinnCoff!G78*Prices!$P$9</f>
        <v>0</v>
      </c>
      <c r="H78" s="84">
        <f>IO_CinnCoff!H78*Prices!$P$9</f>
        <v>0</v>
      </c>
      <c r="I78" s="84">
        <f>IO_CinnCoff!I78*Prices!$P$9</f>
        <v>0</v>
      </c>
      <c r="J78" s="84">
        <f>IO_CinnCoff!J78*Prices!$P$9</f>
        <v>0</v>
      </c>
      <c r="K78" s="84">
        <f>IO_CinnCoff!K78*Prices!$P$9</f>
        <v>0</v>
      </c>
      <c r="L78" s="84">
        <f>IO_CinnCoff!L78*Prices!$P$9</f>
        <v>0</v>
      </c>
      <c r="M78" s="84">
        <f>IO_CinnCoff!M78*Prices!$P$9</f>
        <v>0</v>
      </c>
      <c r="N78" s="84">
        <f>IO_CinnCoff!N78*Prices!$P$9</f>
        <v>0</v>
      </c>
      <c r="O78" s="84">
        <f>IO_CinnCoff!O78*Prices!$P$9</f>
        <v>0</v>
      </c>
      <c r="P78" s="84">
        <f>IO_CinnCoff!P78*Prices!$P$9</f>
        <v>0</v>
      </c>
      <c r="Q78" s="84">
        <f>IO_CinnCoff!Q78*Prices!$P$9</f>
        <v>0</v>
      </c>
      <c r="R78" s="84">
        <f>IO_CinnCoff!R78*Prices!$P$9</f>
        <v>0</v>
      </c>
      <c r="S78" s="84">
        <f>IO_CinnCoff!S78*Prices!$P$9</f>
        <v>0</v>
      </c>
      <c r="T78" s="84">
        <f>IO_CinnCoff!T78*Prices!$P$9</f>
        <v>0</v>
      </c>
      <c r="U78" s="84">
        <f>IO_CinnCoff!U78*Prices!$P$9</f>
        <v>0</v>
      </c>
      <c r="V78" s="84">
        <f>IO_CinnCoff!V78*Prices!$P$9</f>
        <v>0</v>
      </c>
      <c r="W78" s="84">
        <f>IO_CinnCoff!W78*Prices!$P$9</f>
        <v>0</v>
      </c>
      <c r="X78" s="84">
        <f>IO_CinnCoff!X78*Prices!$P$9</f>
        <v>0</v>
      </c>
      <c r="Y78" s="84">
        <f>IO_CinnCoff!Y78*Prices!$P$9</f>
        <v>0</v>
      </c>
      <c r="Z78" s="84">
        <f>IO_CinnCoff!Z78*Prices!$P$9</f>
        <v>0</v>
      </c>
      <c r="AA78" s="84">
        <f>IO_CinnCoff!AA78*Prices!$P$9</f>
        <v>0</v>
      </c>
      <c r="AB78" s="84">
        <f>IO_CinnCoff!AB78*Prices!$P$9</f>
        <v>0</v>
      </c>
      <c r="AC78" s="84">
        <f>IO_CinnCoff!AC78*Prices!$P$9</f>
        <v>0</v>
      </c>
      <c r="AD78" s="84">
        <f>IO_CinnCoff!AD78*Prices!$P$9</f>
        <v>0</v>
      </c>
      <c r="AE78" s="84">
        <f>IO_CinnCoff!AE78*Prices!$P$9</f>
        <v>0</v>
      </c>
      <c r="AF78" s="84">
        <f>IO_CinnCoff!AF78*Prices!$P$9</f>
        <v>0</v>
      </c>
      <c r="AG78" s="84">
        <f>IO_CinnCoff!AG78*Prices!$P$9</f>
        <v>0</v>
      </c>
      <c r="AH78" s="85"/>
      <c r="AI78" s="85"/>
      <c r="AJ78" s="85"/>
      <c r="AK78" s="85"/>
      <c r="AL78" s="85"/>
      <c r="AM78" s="85"/>
      <c r="AN78" s="85"/>
      <c r="AO78" s="85"/>
      <c r="AP78" s="85"/>
      <c r="AQ78" s="85"/>
      <c r="AR78" s="85"/>
      <c r="AS78" s="85"/>
      <c r="AT78" s="85"/>
      <c r="AU78" s="85"/>
      <c r="AV78" s="85"/>
      <c r="AW78" s="85"/>
      <c r="AX78" s="85"/>
      <c r="AY78" s="85"/>
      <c r="AZ78" s="85"/>
      <c r="BA78" s="85"/>
      <c r="BB78" s="85"/>
      <c r="BC78" s="85"/>
      <c r="BD78" s="85"/>
      <c r="BE78" s="85"/>
      <c r="BF78" s="85"/>
    </row>
    <row r="79" spans="2:58">
      <c r="B79" s="72" t="s">
        <v>163</v>
      </c>
      <c r="C79" s="90" t="s">
        <v>29</v>
      </c>
      <c r="D79" s="84">
        <f>IO_CinnCoff!D79*Prices!$P$10</f>
        <v>0</v>
      </c>
      <c r="E79" s="84">
        <f>IO_CinnCoff!E79*Prices!$P$10</f>
        <v>0</v>
      </c>
      <c r="F79" s="84">
        <f>IO_CinnCoff!F79*Prices!$P$10</f>
        <v>0</v>
      </c>
      <c r="G79" s="84">
        <f>IO_CinnCoff!G79*Prices!$P$10</f>
        <v>0</v>
      </c>
      <c r="H79" s="84">
        <f>IO_CinnCoff!H79*Prices!$P$10</f>
        <v>0</v>
      </c>
      <c r="I79" s="84">
        <f>IO_CinnCoff!I79*Prices!$P$10</f>
        <v>0</v>
      </c>
      <c r="J79" s="84">
        <f>IO_CinnCoff!J79*Prices!$P$10</f>
        <v>0</v>
      </c>
      <c r="K79" s="84">
        <f>IO_CinnCoff!K79*Prices!$P$10</f>
        <v>0</v>
      </c>
      <c r="L79" s="84">
        <f>IO_CinnCoff!L79*Prices!$P$10</f>
        <v>0</v>
      </c>
      <c r="M79" s="84">
        <f>IO_CinnCoff!M79*Prices!$P$10</f>
        <v>0</v>
      </c>
      <c r="N79" s="84">
        <f>IO_CinnCoff!N79*Prices!$P$10</f>
        <v>0</v>
      </c>
      <c r="O79" s="84">
        <f>IO_CinnCoff!O79*Prices!$P$10</f>
        <v>0</v>
      </c>
      <c r="P79" s="84">
        <f>IO_CinnCoff!P79*Prices!$P$10</f>
        <v>0</v>
      </c>
      <c r="Q79" s="84">
        <f>IO_CinnCoff!Q79*Prices!$P$10</f>
        <v>0</v>
      </c>
      <c r="R79" s="84">
        <f>IO_CinnCoff!R79*Prices!$P$10</f>
        <v>0</v>
      </c>
      <c r="S79" s="84">
        <f>IO_CinnCoff!S79*Prices!$P$10</f>
        <v>0</v>
      </c>
      <c r="T79" s="84">
        <f>IO_CinnCoff!T79*Prices!$P$10</f>
        <v>0</v>
      </c>
      <c r="U79" s="84">
        <f>IO_CinnCoff!U79*Prices!$P$10</f>
        <v>0</v>
      </c>
      <c r="V79" s="84">
        <f>IO_CinnCoff!V79*Prices!$P$10</f>
        <v>0</v>
      </c>
      <c r="W79" s="84">
        <f>IO_CinnCoff!W79*Prices!$P$10</f>
        <v>0</v>
      </c>
      <c r="X79" s="84">
        <f>IO_CinnCoff!X79*Prices!$P$10</f>
        <v>0</v>
      </c>
      <c r="Y79" s="84">
        <f>IO_CinnCoff!Y79*Prices!$P$10</f>
        <v>0</v>
      </c>
      <c r="Z79" s="84">
        <f>IO_CinnCoff!Z79*Prices!$P$10</f>
        <v>0</v>
      </c>
      <c r="AA79" s="84">
        <f>IO_CinnCoff!AA79*Prices!$P$10</f>
        <v>0</v>
      </c>
      <c r="AB79" s="84">
        <f>IO_CinnCoff!AB79*Prices!$P$10</f>
        <v>0</v>
      </c>
      <c r="AC79" s="84">
        <f>IO_CinnCoff!AC79*Prices!$P$10</f>
        <v>0</v>
      </c>
      <c r="AD79" s="84">
        <f>IO_CinnCoff!AD79*Prices!$P$10</f>
        <v>0</v>
      </c>
      <c r="AE79" s="84">
        <f>IO_CinnCoff!AE79*Prices!$P$10</f>
        <v>0</v>
      </c>
      <c r="AF79" s="84">
        <f>IO_CinnCoff!AF79*Prices!$P$10</f>
        <v>0</v>
      </c>
      <c r="AG79" s="84">
        <f>IO_CinnCoff!AG79*Prices!$P$10</f>
        <v>0</v>
      </c>
      <c r="AH79" s="85"/>
      <c r="AI79" s="85"/>
      <c r="AJ79" s="85"/>
      <c r="AK79" s="85"/>
      <c r="AL79" s="85"/>
      <c r="AM79" s="85"/>
      <c r="AN79" s="85"/>
      <c r="AO79" s="85"/>
      <c r="AP79" s="85"/>
      <c r="AQ79" s="85"/>
      <c r="AR79" s="85"/>
      <c r="AS79" s="85"/>
      <c r="AT79" s="85"/>
      <c r="AU79" s="85"/>
      <c r="AV79" s="85"/>
      <c r="AW79" s="85"/>
      <c r="AX79" s="85"/>
      <c r="AY79" s="85"/>
      <c r="AZ79" s="85"/>
      <c r="BA79" s="85"/>
      <c r="BB79" s="85"/>
      <c r="BC79" s="85"/>
      <c r="BD79" s="85"/>
      <c r="BE79" s="85"/>
      <c r="BF79" s="85"/>
    </row>
    <row r="80" spans="2:58">
      <c r="B80" s="67" t="s">
        <v>131</v>
      </c>
      <c r="C80" s="90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5"/>
      <c r="AI80" s="85"/>
      <c r="AJ80" s="85"/>
      <c r="AK80" s="85"/>
      <c r="AL80" s="85"/>
      <c r="AM80" s="85"/>
      <c r="AN80" s="85"/>
      <c r="AO80" s="85"/>
      <c r="AP80" s="85"/>
      <c r="AQ80" s="85"/>
      <c r="AR80" s="85"/>
      <c r="AS80" s="85"/>
      <c r="AT80" s="85"/>
      <c r="AU80" s="85"/>
      <c r="AV80" s="85"/>
      <c r="AW80" s="85"/>
      <c r="AX80" s="85"/>
      <c r="AY80" s="85"/>
      <c r="AZ80" s="85"/>
      <c r="BA80" s="85"/>
      <c r="BB80" s="85"/>
      <c r="BC80" s="85"/>
      <c r="BD80" s="85"/>
      <c r="BE80" s="85"/>
      <c r="BF80" s="85"/>
    </row>
    <row r="81" spans="2:58">
      <c r="B81" s="72" t="s">
        <v>140</v>
      </c>
      <c r="C81" s="41" t="s">
        <v>29</v>
      </c>
      <c r="D81" s="84">
        <f>IO_CinnCoff!D81*Prices!$P$5</f>
        <v>0</v>
      </c>
      <c r="E81" s="84">
        <f>IO_CinnCoff!E81*Prices!$P$5</f>
        <v>0</v>
      </c>
      <c r="F81" s="84">
        <f>IO_CinnCoff!F81*Prices!$P$5</f>
        <v>0</v>
      </c>
      <c r="G81" s="84">
        <f>IO_CinnCoff!G81*Prices!$P$5</f>
        <v>0</v>
      </c>
      <c r="H81" s="84">
        <f>IO_CinnCoff!H81*Prices!$P$5</f>
        <v>0</v>
      </c>
      <c r="I81" s="84">
        <f>IO_CinnCoff!I81*Prices!$P$5</f>
        <v>133360</v>
      </c>
      <c r="J81" s="84">
        <f>IO_CinnCoff!J81*Prices!$P$5</f>
        <v>200040</v>
      </c>
      <c r="K81" s="84">
        <f>IO_CinnCoff!K81*Prices!$P$5</f>
        <v>200040</v>
      </c>
      <c r="L81" s="84">
        <f>IO_CinnCoff!L81*Prices!$P$5</f>
        <v>200040</v>
      </c>
      <c r="M81" s="84">
        <f>IO_CinnCoff!M81*Prices!$P$5</f>
        <v>266720</v>
      </c>
      <c r="N81" s="84">
        <f>IO_CinnCoff!N81*Prices!$P$5</f>
        <v>780500</v>
      </c>
      <c r="O81" s="84">
        <f>IO_CinnCoff!O81*Prices!$P$5</f>
        <v>410080.00000000012</v>
      </c>
      <c r="P81" s="84">
        <f>IO_CinnCoff!P81*Prices!$P$5</f>
        <v>512600</v>
      </c>
      <c r="Q81" s="84">
        <f>IO_CinnCoff!Q81*Prices!$P$5</f>
        <v>1746200.0000000002</v>
      </c>
      <c r="R81" s="84">
        <f>IO_CinnCoff!R81*Prices!$P$5</f>
        <v>430080</v>
      </c>
      <c r="S81" s="84">
        <f>IO_CinnCoff!S81*Prices!$P$5</f>
        <v>537600.00000000012</v>
      </c>
      <c r="T81" s="84">
        <f>IO_CinnCoff!T81*Prices!$P$5</f>
        <v>2567200.0000000005</v>
      </c>
      <c r="U81" s="84">
        <f>IO_CinnCoff!U81*Prices!$P$5</f>
        <v>510500</v>
      </c>
      <c r="V81" s="84">
        <f>IO_CinnCoff!V81*Prices!$P$5</f>
        <v>612600.00000000012</v>
      </c>
      <c r="W81" s="84">
        <f>IO_CinnCoff!W81*Prices!$P$5</f>
        <v>3669540</v>
      </c>
      <c r="X81" s="84">
        <f>IO_CinnCoff!X81*Prices!$P$5</f>
        <v>200040</v>
      </c>
      <c r="Y81" s="84">
        <f>IO_CinnCoff!Y81*Prices!$P$5</f>
        <v>320064</v>
      </c>
      <c r="Z81" s="84">
        <f>IO_CinnCoff!Z81*Prices!$P$5</f>
        <v>400080</v>
      </c>
      <c r="AA81" s="84">
        <f>IO_CinnCoff!AA81*Prices!$P$5</f>
        <v>780500</v>
      </c>
      <c r="AB81" s="84">
        <f>IO_CinnCoff!AB81*Prices!$P$5</f>
        <v>410080.00000000012</v>
      </c>
      <c r="AC81" s="84">
        <f>IO_CinnCoff!AC81*Prices!$P$5</f>
        <v>512600</v>
      </c>
      <c r="AD81" s="84">
        <f>IO_CinnCoff!AD81*Prices!$P$5</f>
        <v>1746200.0000000002</v>
      </c>
      <c r="AE81" s="84">
        <f>IO_CinnCoff!AE81*Prices!$P$5</f>
        <v>320064</v>
      </c>
      <c r="AF81" s="84">
        <f>IO_CinnCoff!AF81*Prices!$P$5</f>
        <v>400080</v>
      </c>
      <c r="AG81" s="84">
        <f>IO_CinnCoff!AG81*Prices!$P$5</f>
        <v>4275000</v>
      </c>
      <c r="AH81" s="85"/>
      <c r="AI81" s="85"/>
      <c r="AJ81" s="85"/>
      <c r="AK81" s="85"/>
      <c r="AL81" s="85"/>
      <c r="AM81" s="85"/>
      <c r="AN81" s="85"/>
      <c r="AO81" s="85"/>
      <c r="AP81" s="85"/>
      <c r="AQ81" s="85"/>
      <c r="AR81" s="85"/>
      <c r="AS81" s="85"/>
      <c r="AT81" s="85"/>
      <c r="AU81" s="85"/>
      <c r="AV81" s="85"/>
      <c r="AW81" s="85"/>
      <c r="AX81" s="85"/>
      <c r="AY81" s="85"/>
      <c r="AZ81" s="85"/>
      <c r="BA81" s="85"/>
      <c r="BB81" s="85"/>
      <c r="BC81" s="85"/>
      <c r="BD81" s="85"/>
      <c r="BE81" s="85"/>
      <c r="BF81" s="85"/>
    </row>
    <row r="82" spans="2:58">
      <c r="B82" s="72" t="s">
        <v>137</v>
      </c>
      <c r="C82" s="41" t="s">
        <v>29</v>
      </c>
      <c r="D82" s="84">
        <f>IO_CinnCoff!D82*Prices!$P$6</f>
        <v>0</v>
      </c>
      <c r="E82" s="84">
        <f>IO_CinnCoff!E82*Prices!$P$6</f>
        <v>0</v>
      </c>
      <c r="F82" s="84">
        <f>IO_CinnCoff!F82*Prices!$P$6</f>
        <v>0</v>
      </c>
      <c r="G82" s="84">
        <f>IO_CinnCoff!G82*Prices!$P$6</f>
        <v>0</v>
      </c>
      <c r="H82" s="84">
        <f>IO_CinnCoff!H82*Prices!$P$6</f>
        <v>0</v>
      </c>
      <c r="I82" s="84">
        <f>IO_CinnCoff!I82*Prices!$P$6</f>
        <v>266720</v>
      </c>
      <c r="J82" s="84">
        <f>IO_CinnCoff!J82*Prices!$P$6</f>
        <v>400080</v>
      </c>
      <c r="K82" s="84">
        <f>IO_CinnCoff!K82*Prices!$P$6</f>
        <v>400080</v>
      </c>
      <c r="L82" s="84">
        <f>IO_CinnCoff!L82*Prices!$P$6</f>
        <v>400080</v>
      </c>
      <c r="M82" s="84">
        <f>IO_CinnCoff!M82*Prices!$P$6</f>
        <v>533440</v>
      </c>
      <c r="N82" s="84">
        <f>IO_CinnCoff!N82*Prices!$P$6</f>
        <v>1561000</v>
      </c>
      <c r="O82" s="84">
        <f>IO_CinnCoff!O82*Prices!$P$6</f>
        <v>820160.00000000023</v>
      </c>
      <c r="P82" s="84">
        <f>IO_CinnCoff!P82*Prices!$P$6</f>
        <v>1025200</v>
      </c>
      <c r="Q82" s="84">
        <f>IO_CinnCoff!Q82*Prices!$P$6</f>
        <v>3492400.0000000005</v>
      </c>
      <c r="R82" s="84">
        <f>IO_CinnCoff!R82*Prices!$P$6</f>
        <v>860160</v>
      </c>
      <c r="S82" s="84">
        <f>IO_CinnCoff!S82*Prices!$P$6</f>
        <v>1075200.0000000002</v>
      </c>
      <c r="T82" s="84">
        <f>IO_CinnCoff!T82*Prices!$P$6</f>
        <v>5134400.0000000009</v>
      </c>
      <c r="U82" s="84">
        <f>IO_CinnCoff!U82*Prices!$P$6</f>
        <v>1021000</v>
      </c>
      <c r="V82" s="84">
        <f>IO_CinnCoff!V82*Prices!$P$6</f>
        <v>1225200.0000000002</v>
      </c>
      <c r="W82" s="84">
        <f>IO_CinnCoff!W82*Prices!$P$6</f>
        <v>7339080</v>
      </c>
      <c r="X82" s="84">
        <f>IO_CinnCoff!X82*Prices!$P$6</f>
        <v>400080</v>
      </c>
      <c r="Y82" s="84">
        <f>IO_CinnCoff!Y82*Prices!$P$6</f>
        <v>640128</v>
      </c>
      <c r="Z82" s="84">
        <f>IO_CinnCoff!Z82*Prices!$P$6</f>
        <v>800160</v>
      </c>
      <c r="AA82" s="84">
        <f>IO_CinnCoff!AA82*Prices!$P$6</f>
        <v>1561000</v>
      </c>
      <c r="AB82" s="84">
        <f>IO_CinnCoff!AB82*Prices!$P$6</f>
        <v>820160.00000000023</v>
      </c>
      <c r="AC82" s="84">
        <f>IO_CinnCoff!AC82*Prices!$P$6</f>
        <v>1025200</v>
      </c>
      <c r="AD82" s="84">
        <f>IO_CinnCoff!AD82*Prices!$P$6</f>
        <v>3492400.0000000005</v>
      </c>
      <c r="AE82" s="84">
        <f>IO_CinnCoff!AE82*Prices!$P$6</f>
        <v>640128</v>
      </c>
      <c r="AF82" s="84">
        <f>IO_CinnCoff!AF82*Prices!$P$6</f>
        <v>800160</v>
      </c>
      <c r="AG82" s="84">
        <f>IO_CinnCoff!AG82*Prices!$P$6</f>
        <v>8550000</v>
      </c>
      <c r="AH82" s="85"/>
      <c r="AI82" s="85"/>
      <c r="AJ82" s="85"/>
      <c r="AK82" s="85"/>
      <c r="AL82" s="85"/>
      <c r="AM82" s="85"/>
      <c r="AN82" s="85"/>
      <c r="AO82" s="85"/>
      <c r="AP82" s="85"/>
      <c r="AQ82" s="85"/>
      <c r="AR82" s="85"/>
      <c r="AS82" s="85"/>
      <c r="AT82" s="85"/>
      <c r="AU82" s="85"/>
      <c r="AV82" s="85"/>
      <c r="AW82" s="85"/>
      <c r="AX82" s="85"/>
      <c r="AY82" s="85"/>
      <c r="AZ82" s="85"/>
      <c r="BA82" s="85"/>
      <c r="BB82" s="85"/>
      <c r="BC82" s="85"/>
      <c r="BD82" s="85"/>
      <c r="BE82" s="85"/>
      <c r="BF82" s="85"/>
    </row>
    <row r="83" spans="2:58">
      <c r="B83" s="72" t="s">
        <v>141</v>
      </c>
      <c r="C83" s="41" t="s">
        <v>29</v>
      </c>
      <c r="D83" s="84">
        <f>IO_CinnCoff!D83*Prices!$P$7</f>
        <v>0</v>
      </c>
      <c r="E83" s="84">
        <f>IO_CinnCoff!E83*Prices!$P$7</f>
        <v>0</v>
      </c>
      <c r="F83" s="84">
        <f>IO_CinnCoff!F83*Prices!$P$7</f>
        <v>0</v>
      </c>
      <c r="G83" s="84">
        <f>IO_CinnCoff!G83*Prices!$P$7</f>
        <v>0</v>
      </c>
      <c r="H83" s="84">
        <f>IO_CinnCoff!H83*Prices!$P$7</f>
        <v>0</v>
      </c>
      <c r="I83" s="84">
        <f>IO_CinnCoff!I83*Prices!$P$7</f>
        <v>133360</v>
      </c>
      <c r="J83" s="84">
        <f>IO_CinnCoff!J83*Prices!$P$7</f>
        <v>200040</v>
      </c>
      <c r="K83" s="84">
        <f>IO_CinnCoff!K83*Prices!$P$7</f>
        <v>200040</v>
      </c>
      <c r="L83" s="84">
        <f>IO_CinnCoff!L83*Prices!$P$7</f>
        <v>200040</v>
      </c>
      <c r="M83" s="84">
        <f>IO_CinnCoff!M83*Prices!$P$7</f>
        <v>266720</v>
      </c>
      <c r="N83" s="84">
        <f>IO_CinnCoff!N83*Prices!$P$7</f>
        <v>780500</v>
      </c>
      <c r="O83" s="84">
        <f>IO_CinnCoff!O83*Prices!$P$7</f>
        <v>410080.00000000012</v>
      </c>
      <c r="P83" s="84">
        <f>IO_CinnCoff!P83*Prices!$P$7</f>
        <v>512600</v>
      </c>
      <c r="Q83" s="84">
        <f>IO_CinnCoff!Q83*Prices!$P$7</f>
        <v>1746200.0000000002</v>
      </c>
      <c r="R83" s="84">
        <f>IO_CinnCoff!R83*Prices!$P$7</f>
        <v>430080</v>
      </c>
      <c r="S83" s="84">
        <f>IO_CinnCoff!S83*Prices!$P$7</f>
        <v>537600.00000000012</v>
      </c>
      <c r="T83" s="84">
        <f>IO_CinnCoff!T83*Prices!$P$7</f>
        <v>2567200.0000000005</v>
      </c>
      <c r="U83" s="84">
        <f>IO_CinnCoff!U83*Prices!$P$7</f>
        <v>510500</v>
      </c>
      <c r="V83" s="84">
        <f>IO_CinnCoff!V83*Prices!$P$7</f>
        <v>612600.00000000012</v>
      </c>
      <c r="W83" s="84">
        <f>IO_CinnCoff!W83*Prices!$P$7</f>
        <v>3669540</v>
      </c>
      <c r="X83" s="84">
        <f>IO_CinnCoff!X83*Prices!$P$7</f>
        <v>200040</v>
      </c>
      <c r="Y83" s="84">
        <f>IO_CinnCoff!Y83*Prices!$P$7</f>
        <v>320064</v>
      </c>
      <c r="Z83" s="84">
        <f>IO_CinnCoff!Z83*Prices!$P$7</f>
        <v>400080</v>
      </c>
      <c r="AA83" s="84">
        <f>IO_CinnCoff!AA83*Prices!$P$7</f>
        <v>780500</v>
      </c>
      <c r="AB83" s="84">
        <f>IO_CinnCoff!AB83*Prices!$P$7</f>
        <v>410080.00000000012</v>
      </c>
      <c r="AC83" s="84">
        <f>IO_CinnCoff!AC83*Prices!$P$7</f>
        <v>512600</v>
      </c>
      <c r="AD83" s="84">
        <f>IO_CinnCoff!AD83*Prices!$P$7</f>
        <v>1746200.0000000002</v>
      </c>
      <c r="AE83" s="84">
        <f>IO_CinnCoff!AE83*Prices!$P$7</f>
        <v>320064</v>
      </c>
      <c r="AF83" s="84">
        <f>IO_CinnCoff!AF83*Prices!$P$7</f>
        <v>400080</v>
      </c>
      <c r="AG83" s="84">
        <f>IO_CinnCoff!AG83*Prices!$P$7</f>
        <v>4275000</v>
      </c>
      <c r="AH83" s="85"/>
      <c r="AI83" s="85"/>
      <c r="AJ83" s="85"/>
      <c r="AK83" s="85"/>
      <c r="AL83" s="85"/>
      <c r="AM83" s="85"/>
      <c r="AN83" s="85"/>
      <c r="AO83" s="85"/>
      <c r="AP83" s="85"/>
      <c r="AQ83" s="85"/>
      <c r="AR83" s="85"/>
      <c r="AS83" s="85"/>
      <c r="AT83" s="85"/>
      <c r="AU83" s="85"/>
      <c r="AV83" s="85"/>
      <c r="AW83" s="85"/>
      <c r="AX83" s="85"/>
      <c r="AY83" s="85"/>
      <c r="AZ83" s="85"/>
      <c r="BA83" s="85"/>
      <c r="BB83" s="85"/>
      <c r="BC83" s="85"/>
      <c r="BD83" s="85"/>
      <c r="BE83" s="85"/>
      <c r="BF83" s="85"/>
    </row>
    <row r="84" spans="2:58">
      <c r="B84" s="72" t="s">
        <v>168</v>
      </c>
      <c r="C84" s="41" t="s">
        <v>29</v>
      </c>
      <c r="D84" s="84">
        <v>0</v>
      </c>
      <c r="E84" s="84">
        <v>1</v>
      </c>
      <c r="F84" s="84">
        <v>2</v>
      </c>
      <c r="G84" s="84">
        <v>3</v>
      </c>
      <c r="H84" s="84">
        <v>4</v>
      </c>
      <c r="I84" s="84">
        <v>5</v>
      </c>
      <c r="J84" s="84">
        <v>6</v>
      </c>
      <c r="K84" s="84">
        <v>7</v>
      </c>
      <c r="L84" s="84">
        <v>8</v>
      </c>
      <c r="M84" s="84">
        <v>9</v>
      </c>
      <c r="N84" s="84">
        <v>10</v>
      </c>
      <c r="O84" s="84">
        <v>11</v>
      </c>
      <c r="P84" s="84">
        <v>12</v>
      </c>
      <c r="Q84" s="84">
        <v>13</v>
      </c>
      <c r="R84" s="84">
        <v>14</v>
      </c>
      <c r="S84" s="84">
        <v>15</v>
      </c>
      <c r="T84" s="84">
        <v>16</v>
      </c>
      <c r="U84" s="84">
        <v>17</v>
      </c>
      <c r="V84" s="84">
        <v>18</v>
      </c>
      <c r="W84" s="84">
        <v>19</v>
      </c>
      <c r="X84" s="84">
        <v>20</v>
      </c>
      <c r="Y84" s="84">
        <v>21</v>
      </c>
      <c r="Z84" s="84">
        <v>22</v>
      </c>
      <c r="AA84" s="84">
        <v>23</v>
      </c>
      <c r="AB84" s="84">
        <v>24</v>
      </c>
      <c r="AC84" s="84">
        <v>25</v>
      </c>
      <c r="AD84" s="84">
        <v>26</v>
      </c>
      <c r="AE84" s="84">
        <v>27</v>
      </c>
      <c r="AF84" s="84">
        <v>28</v>
      </c>
      <c r="AG84" s="84">
        <v>29</v>
      </c>
      <c r="AH84" s="85"/>
      <c r="AI84" s="85"/>
      <c r="AJ84" s="85"/>
      <c r="AK84" s="85"/>
      <c r="AL84" s="85"/>
      <c r="AM84" s="85"/>
      <c r="AN84" s="85"/>
      <c r="AO84" s="85"/>
      <c r="AP84" s="85"/>
      <c r="AQ84" s="85"/>
      <c r="AR84" s="85"/>
      <c r="AS84" s="85"/>
      <c r="AT84" s="85"/>
      <c r="AU84" s="85"/>
      <c r="AV84" s="85"/>
      <c r="AW84" s="85"/>
      <c r="AX84" s="85"/>
      <c r="AY84" s="85"/>
      <c r="AZ84" s="85"/>
      <c r="BA84" s="85"/>
      <c r="BB84" s="85"/>
      <c r="BC84" s="85"/>
      <c r="BD84" s="85"/>
      <c r="BE84" s="85"/>
      <c r="BF84" s="85"/>
    </row>
    <row r="85" spans="2:58">
      <c r="B85" s="67"/>
      <c r="C85" s="41"/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5"/>
      <c r="AI85" s="85"/>
      <c r="AJ85" s="85"/>
      <c r="AK85" s="85"/>
      <c r="AL85" s="85"/>
      <c r="AM85" s="85"/>
      <c r="AN85" s="85"/>
      <c r="AO85" s="85"/>
      <c r="AP85" s="85"/>
      <c r="AQ85" s="85"/>
      <c r="AR85" s="85"/>
      <c r="AS85" s="85"/>
      <c r="AT85" s="85"/>
      <c r="AU85" s="85"/>
      <c r="AV85" s="85"/>
      <c r="AW85" s="85"/>
      <c r="AX85" s="85"/>
      <c r="AY85" s="85"/>
      <c r="AZ85" s="85"/>
      <c r="BA85" s="85"/>
      <c r="BB85" s="85"/>
      <c r="BC85" s="85"/>
      <c r="BD85" s="85"/>
      <c r="BE85" s="85"/>
      <c r="BF85" s="85"/>
    </row>
    <row r="86" spans="2:58">
      <c r="B86" s="67"/>
      <c r="C86" s="41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/>
      <c r="AG86" s="84"/>
      <c r="AH86" s="85"/>
      <c r="AI86" s="85"/>
      <c r="AJ86" s="85"/>
      <c r="AK86" s="85"/>
      <c r="AL86" s="85"/>
      <c r="AM86" s="85"/>
      <c r="AN86" s="85"/>
      <c r="AO86" s="85"/>
      <c r="AP86" s="85"/>
      <c r="AQ86" s="85"/>
      <c r="AR86" s="85"/>
      <c r="AS86" s="85"/>
      <c r="AT86" s="85"/>
      <c r="AU86" s="85"/>
      <c r="AV86" s="85"/>
      <c r="AW86" s="85"/>
      <c r="AX86" s="85"/>
      <c r="AY86" s="85"/>
      <c r="AZ86" s="85"/>
      <c r="BA86" s="85"/>
      <c r="BB86" s="85"/>
      <c r="BC86" s="85"/>
      <c r="BD86" s="85"/>
      <c r="BE86" s="85"/>
      <c r="BF86" s="85"/>
    </row>
    <row r="87" spans="2:58" ht="15.6">
      <c r="B87" s="69" t="s">
        <v>205</v>
      </c>
      <c r="C87" s="70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  <c r="AA87" s="71"/>
      <c r="AB87" s="71"/>
      <c r="AC87" s="71"/>
      <c r="AD87" s="71"/>
      <c r="AE87" s="71"/>
      <c r="AF87" s="71"/>
      <c r="AG87" s="71"/>
      <c r="AH87" s="85"/>
      <c r="AI87" s="85"/>
      <c r="AJ87" s="85"/>
      <c r="AK87" s="85"/>
      <c r="AL87" s="85"/>
      <c r="AM87" s="85"/>
      <c r="AN87" s="85"/>
      <c r="AO87" s="85"/>
      <c r="AP87" s="85"/>
      <c r="AQ87" s="85"/>
      <c r="AR87" s="85"/>
      <c r="AS87" s="85"/>
      <c r="AT87" s="85"/>
      <c r="AU87" s="85"/>
      <c r="AV87" s="85"/>
      <c r="AW87" s="85"/>
      <c r="AX87" s="85"/>
      <c r="AY87" s="85"/>
      <c r="AZ87" s="85"/>
      <c r="BA87" s="85"/>
      <c r="BB87" s="85"/>
      <c r="BC87" s="85"/>
      <c r="BD87" s="85"/>
      <c r="BE87" s="85"/>
      <c r="BF87" s="85"/>
    </row>
    <row r="88" spans="2:58">
      <c r="B88" s="67" t="s">
        <v>167</v>
      </c>
      <c r="C88" s="90"/>
      <c r="D88" s="84"/>
      <c r="E88" s="84"/>
      <c r="F88" s="84"/>
      <c r="G88" s="84"/>
      <c r="H88" s="84"/>
      <c r="I88" s="84"/>
      <c r="J88" s="84"/>
      <c r="K88" s="84"/>
      <c r="L88" s="84"/>
      <c r="M88" s="84"/>
      <c r="N88" s="84"/>
      <c r="O88" s="84"/>
      <c r="P88" s="84"/>
      <c r="Q88" s="84"/>
      <c r="R88" s="84"/>
      <c r="S88" s="84"/>
      <c r="T88" s="84"/>
      <c r="U88" s="84"/>
      <c r="V88" s="84"/>
      <c r="W88" s="84"/>
      <c r="X88" s="84"/>
      <c r="Y88" s="84"/>
      <c r="Z88" s="84"/>
      <c r="AA88" s="84"/>
      <c r="AB88" s="84"/>
      <c r="AC88" s="84"/>
      <c r="AD88" s="84"/>
      <c r="AE88" s="84"/>
      <c r="AF88" s="84"/>
      <c r="AG88" s="84"/>
      <c r="AH88" s="85"/>
      <c r="AI88" s="85"/>
      <c r="AJ88" s="85"/>
      <c r="AK88" s="85"/>
      <c r="AL88" s="85"/>
      <c r="AM88" s="85"/>
      <c r="AN88" s="85"/>
      <c r="AO88" s="85"/>
      <c r="AP88" s="85"/>
      <c r="AQ88" s="85"/>
      <c r="AR88" s="85"/>
      <c r="AS88" s="85"/>
      <c r="AT88" s="85"/>
      <c r="AU88" s="85"/>
      <c r="AV88" s="85"/>
      <c r="AW88" s="85"/>
      <c r="AX88" s="85"/>
      <c r="AY88" s="85"/>
      <c r="AZ88" s="85"/>
      <c r="BA88" s="85"/>
      <c r="BB88" s="85"/>
      <c r="BC88" s="85"/>
      <c r="BD88" s="85"/>
      <c r="BE88" s="85"/>
      <c r="BF88" s="85"/>
    </row>
    <row r="89" spans="2:58">
      <c r="B89" s="72" t="s">
        <v>183</v>
      </c>
      <c r="C89" s="90" t="s">
        <v>7</v>
      </c>
      <c r="D89" s="98">
        <f>IO_CinnCoff!D89*Prices!$L$8</f>
        <v>0</v>
      </c>
      <c r="E89" s="98">
        <f>IO_CinnCoff!E89*Prices!$L$8</f>
        <v>0</v>
      </c>
      <c r="F89" s="98">
        <f>IO_CinnCoff!F89*Prices!$L$8</f>
        <v>0</v>
      </c>
      <c r="G89" s="98">
        <f>IO_CinnCoff!G89*Prices!$L$8</f>
        <v>0</v>
      </c>
      <c r="H89" s="98">
        <f>IO_CinnCoff!H89*Prices!$L$8</f>
        <v>0</v>
      </c>
      <c r="I89" s="98">
        <f>IO_CinnCoff!I89*Prices!$L$8</f>
        <v>0</v>
      </c>
      <c r="J89" s="98">
        <f>IO_CinnCoff!J89*Prices!$L$8</f>
        <v>0</v>
      </c>
      <c r="K89" s="98">
        <f>IO_CinnCoff!K89*Prices!$L$8</f>
        <v>0</v>
      </c>
      <c r="L89" s="98">
        <f>IO_CinnCoff!L89*Prices!$L$8</f>
        <v>0</v>
      </c>
      <c r="M89" s="98">
        <f>IO_CinnCoff!M89*Prices!$L$8</f>
        <v>0</v>
      </c>
      <c r="N89" s="98">
        <f>IO_CinnCoff!N89*Prices!$L$8</f>
        <v>0</v>
      </c>
      <c r="O89" s="98">
        <f>IO_CinnCoff!O89*Prices!$L$8</f>
        <v>0</v>
      </c>
      <c r="P89" s="98">
        <f>IO_CinnCoff!P89*Prices!$L$8</f>
        <v>0</v>
      </c>
      <c r="Q89" s="98">
        <f>IO_CinnCoff!Q89*Prices!$L$8</f>
        <v>0</v>
      </c>
      <c r="R89" s="98">
        <f>IO_CinnCoff!R89*Prices!$L$8</f>
        <v>0</v>
      </c>
      <c r="S89" s="98">
        <f>IO_CinnCoff!S89*Prices!$L$8</f>
        <v>0</v>
      </c>
      <c r="T89" s="98">
        <f>IO_CinnCoff!T89*Prices!$L$8</f>
        <v>0</v>
      </c>
      <c r="U89" s="98">
        <f>IO_CinnCoff!U89*Prices!$L$8</f>
        <v>0</v>
      </c>
      <c r="V89" s="98">
        <f>IO_CinnCoff!V89*Prices!$L$8</f>
        <v>0</v>
      </c>
      <c r="W89" s="98">
        <f>IO_CinnCoff!W89*Prices!$L$8</f>
        <v>0</v>
      </c>
      <c r="X89" s="98">
        <f>IO_CinnCoff!X89*Prices!$L$8</f>
        <v>0</v>
      </c>
      <c r="Y89" s="98">
        <f>IO_CinnCoff!Y89*Prices!$L$8</f>
        <v>0</v>
      </c>
      <c r="Z89" s="98">
        <f>IO_CinnCoff!Z89*Prices!$L$8</f>
        <v>0</v>
      </c>
      <c r="AA89" s="98">
        <f>IO_CinnCoff!AA89*Prices!$L$8</f>
        <v>0</v>
      </c>
      <c r="AB89" s="98">
        <f>IO_CinnCoff!AB89*Prices!$L$8</f>
        <v>0</v>
      </c>
      <c r="AC89" s="98">
        <f>IO_CinnCoff!AC89*Prices!$L$8</f>
        <v>0</v>
      </c>
      <c r="AD89" s="98">
        <f>IO_CinnCoff!AD89*Prices!$L$8</f>
        <v>0</v>
      </c>
      <c r="AE89" s="98">
        <f>IO_CinnCoff!AE89*Prices!$L$8</f>
        <v>0</v>
      </c>
      <c r="AF89" s="98">
        <f>IO_CinnCoff!AF89*Prices!$L$8</f>
        <v>0</v>
      </c>
      <c r="AG89" s="98">
        <f>IO_CinnCoff!AG89*Prices!$L$8</f>
        <v>0</v>
      </c>
      <c r="AH89" s="85"/>
      <c r="AI89" s="85"/>
      <c r="AJ89" s="85"/>
      <c r="AK89" s="85"/>
      <c r="AL89" s="85"/>
      <c r="AM89" s="85"/>
      <c r="AN89" s="85"/>
      <c r="AO89" s="85"/>
      <c r="AP89" s="85"/>
      <c r="AQ89" s="85"/>
      <c r="AR89" s="85"/>
      <c r="AS89" s="85"/>
      <c r="AT89" s="85"/>
      <c r="AU89" s="85"/>
      <c r="AV89" s="85"/>
      <c r="AW89" s="85"/>
      <c r="AX89" s="85"/>
      <c r="AY89" s="85"/>
      <c r="AZ89" s="85"/>
      <c r="BA89" s="85"/>
      <c r="BB89" s="85"/>
      <c r="BC89" s="85"/>
      <c r="BD89" s="85"/>
      <c r="BE89" s="85"/>
      <c r="BF89" s="85"/>
    </row>
    <row r="90" spans="2:58" ht="12.75" customHeight="1">
      <c r="B90" s="68" t="s">
        <v>165</v>
      </c>
      <c r="C90" s="90"/>
      <c r="D90" s="84"/>
      <c r="E90" s="84"/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5"/>
      <c r="AI90" s="85"/>
      <c r="AJ90" s="85"/>
      <c r="AK90" s="85"/>
      <c r="AL90" s="85"/>
      <c r="AM90" s="85"/>
      <c r="AN90" s="85"/>
      <c r="AO90" s="85"/>
      <c r="AP90" s="85"/>
      <c r="AQ90" s="85"/>
      <c r="AR90" s="85"/>
      <c r="AS90" s="85"/>
      <c r="AT90" s="85"/>
      <c r="AU90" s="85"/>
      <c r="AV90" s="85"/>
      <c r="AW90" s="85"/>
      <c r="AX90" s="85"/>
      <c r="AY90" s="85"/>
      <c r="AZ90" s="85"/>
      <c r="BA90" s="85"/>
      <c r="BB90" s="85"/>
      <c r="BC90" s="85"/>
      <c r="BD90" s="85"/>
      <c r="BE90" s="85"/>
      <c r="BF90" s="85"/>
    </row>
    <row r="91" spans="2:58">
      <c r="B91" s="63" t="s">
        <v>131</v>
      </c>
      <c r="C91" s="90"/>
      <c r="D91" s="84"/>
      <c r="E91" s="84"/>
      <c r="F91" s="84"/>
      <c r="G91" s="84"/>
      <c r="H91" s="84"/>
      <c r="I91" s="84"/>
      <c r="J91" s="84"/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5"/>
      <c r="AI91" s="85"/>
      <c r="AJ91" s="85"/>
      <c r="AK91" s="85"/>
      <c r="AL91" s="85"/>
      <c r="AM91" s="85"/>
      <c r="AN91" s="85"/>
      <c r="AO91" s="85"/>
      <c r="AP91" s="85"/>
      <c r="AQ91" s="85"/>
      <c r="AR91" s="85"/>
      <c r="AS91" s="85"/>
      <c r="AT91" s="85"/>
      <c r="AU91" s="85"/>
      <c r="AV91" s="85"/>
      <c r="AW91" s="85"/>
      <c r="AX91" s="85"/>
      <c r="AY91" s="85"/>
      <c r="AZ91" s="85"/>
      <c r="BA91" s="85"/>
      <c r="BB91" s="85"/>
      <c r="BC91" s="85"/>
      <c r="BD91" s="85"/>
      <c r="BE91" s="85"/>
      <c r="BF91" s="85"/>
    </row>
    <row r="92" spans="2:58">
      <c r="B92" s="72" t="s">
        <v>142</v>
      </c>
      <c r="C92" s="90" t="s">
        <v>7</v>
      </c>
      <c r="D92" s="84">
        <f>IO_CinnCoff!D92*Prices!$L$9</f>
        <v>0</v>
      </c>
      <c r="E92" s="84">
        <f>IO_CinnCoff!E92*Prices!$L$9</f>
        <v>0</v>
      </c>
      <c r="F92" s="84">
        <f>IO_CinnCoff!F92*Prices!$L$9</f>
        <v>0</v>
      </c>
      <c r="G92" s="84">
        <f>IO_CinnCoff!G92*Prices!$L$9</f>
        <v>0</v>
      </c>
      <c r="H92" s="84">
        <f>IO_CinnCoff!H92*Prices!$L$9</f>
        <v>0</v>
      </c>
      <c r="I92" s="84">
        <f>IO_CinnCoff!I92*Prices!$L$9</f>
        <v>0</v>
      </c>
      <c r="J92" s="84">
        <f>IO_CinnCoff!J92*Prices!$L$9</f>
        <v>0</v>
      </c>
      <c r="K92" s="84">
        <f>IO_CinnCoff!K92*Prices!$L$9</f>
        <v>0</v>
      </c>
      <c r="L92" s="84">
        <f>IO_CinnCoff!L92*Prices!$L$9</f>
        <v>0</v>
      </c>
      <c r="M92" s="84">
        <f>IO_CinnCoff!M92*Prices!$L$9</f>
        <v>0</v>
      </c>
      <c r="N92" s="84">
        <f>IO_CinnCoff!N92*Prices!$L$9</f>
        <v>11102400.000000002</v>
      </c>
      <c r="O92" s="84">
        <f>IO_CinnCoff!O92*Prices!$L$9</f>
        <v>0</v>
      </c>
      <c r="P92" s="84">
        <f>IO_CinnCoff!P92*Prices!$L$9</f>
        <v>0</v>
      </c>
      <c r="Q92" s="84">
        <f>IO_CinnCoff!Q92*Prices!$L$9</f>
        <v>27756000.000000004</v>
      </c>
      <c r="R92" s="84">
        <f>IO_CinnCoff!R92*Prices!$L$9</f>
        <v>0</v>
      </c>
      <c r="S92" s="84">
        <f>IO_CinnCoff!S92*Prices!$L$9</f>
        <v>0</v>
      </c>
      <c r="T92" s="84">
        <f>IO_CinnCoff!T92*Prices!$L$9</f>
        <v>45103500</v>
      </c>
      <c r="U92" s="84">
        <f>IO_CinnCoff!U92*Prices!$L$9</f>
        <v>0</v>
      </c>
      <c r="V92" s="84">
        <f>IO_CinnCoff!V92*Prices!$L$9</f>
        <v>0</v>
      </c>
      <c r="W92" s="84">
        <f>IO_CinnCoff!W92*Prices!$L$9</f>
        <v>76329000</v>
      </c>
      <c r="X92" s="84">
        <f>IO_CinnCoff!X92*Prices!$L$9</f>
        <v>0</v>
      </c>
      <c r="Y92" s="84">
        <f>IO_CinnCoff!Y92*Prices!$L$9</f>
        <v>0</v>
      </c>
      <c r="Z92" s="84">
        <f>IO_CinnCoff!Z92*Prices!$L$9</f>
        <v>0</v>
      </c>
      <c r="AA92" s="84">
        <f>IO_CinnCoff!AA92*Prices!$L$9</f>
        <v>11102400.000000002</v>
      </c>
      <c r="AB92" s="84">
        <f>IO_CinnCoff!AB92*Prices!$L$9</f>
        <v>0</v>
      </c>
      <c r="AC92" s="84">
        <f>IO_CinnCoff!AC92*Prices!$L$9</f>
        <v>0</v>
      </c>
      <c r="AD92" s="84">
        <f>IO_CinnCoff!AD92*Prices!$L$9</f>
        <v>27756000.000000004</v>
      </c>
      <c r="AE92" s="84">
        <f>IO_CinnCoff!AE92*Prices!$L$9</f>
        <v>0</v>
      </c>
      <c r="AF92" s="84">
        <f>IO_CinnCoff!AF92*Prices!$L$9</f>
        <v>0</v>
      </c>
      <c r="AG92" s="84">
        <f>IO_CinnCoff!AG92*Prices!$L$9</f>
        <v>56250000</v>
      </c>
      <c r="AH92" s="85"/>
      <c r="AI92" s="85"/>
      <c r="AJ92" s="85"/>
      <c r="AK92" s="85"/>
      <c r="AL92" s="85"/>
      <c r="AM92" s="85"/>
      <c r="AN92" s="85"/>
      <c r="AO92" s="85"/>
      <c r="AP92" s="85"/>
      <c r="AQ92" s="85"/>
      <c r="AR92" s="85"/>
      <c r="AS92" s="85"/>
      <c r="AT92" s="85"/>
      <c r="AU92" s="85"/>
      <c r="AV92" s="85"/>
      <c r="AW92" s="85"/>
      <c r="AX92" s="85"/>
      <c r="AY92" s="85"/>
      <c r="AZ92" s="85"/>
      <c r="BA92" s="85"/>
      <c r="BB92" s="85"/>
      <c r="BC92" s="85"/>
      <c r="BD92" s="85"/>
      <c r="BE92" s="85"/>
      <c r="BF92" s="85"/>
    </row>
    <row r="93" spans="2:58">
      <c r="B93" s="72" t="s">
        <v>143</v>
      </c>
      <c r="C93" s="90" t="s">
        <v>7</v>
      </c>
      <c r="D93" s="84">
        <f>IO_CinnCoff!D93*Prices!$L$10</f>
        <v>0</v>
      </c>
      <c r="E93" s="84">
        <f>IO_CinnCoff!E93*Prices!$L$10</f>
        <v>0</v>
      </c>
      <c r="F93" s="84">
        <f>IO_CinnCoff!F93*Prices!$L$10</f>
        <v>0</v>
      </c>
      <c r="G93" s="84">
        <f>IO_CinnCoff!G93*Prices!$L$10</f>
        <v>0</v>
      </c>
      <c r="H93" s="84">
        <f>IO_CinnCoff!H93*Prices!$L$10</f>
        <v>0</v>
      </c>
      <c r="I93" s="84">
        <f>IO_CinnCoff!I93*Prices!$L$10</f>
        <v>0</v>
      </c>
      <c r="J93" s="84">
        <f>IO_CinnCoff!J93*Prices!$L$10</f>
        <v>0</v>
      </c>
      <c r="K93" s="84">
        <f>IO_CinnCoff!K93*Prices!$L$10</f>
        <v>0</v>
      </c>
      <c r="L93" s="84">
        <f>IO_CinnCoff!L93*Prices!$L$10</f>
        <v>0</v>
      </c>
      <c r="M93" s="84">
        <f>IO_CinnCoff!M93*Prices!$L$10</f>
        <v>0</v>
      </c>
      <c r="N93" s="84">
        <f>IO_CinnCoff!N93*Prices!$L$10</f>
        <v>7324500</v>
      </c>
      <c r="O93" s="84">
        <f>IO_CinnCoff!O93*Prices!$L$10</f>
        <v>0</v>
      </c>
      <c r="P93" s="84">
        <f>IO_CinnCoff!P93*Prices!$L$10</f>
        <v>0</v>
      </c>
      <c r="Q93" s="84">
        <f>IO_CinnCoff!Q93*Prices!$L$10</f>
        <v>19275000</v>
      </c>
      <c r="R93" s="84">
        <f>IO_CinnCoff!R93*Prices!$L$10</f>
        <v>0</v>
      </c>
      <c r="S93" s="84">
        <f>IO_CinnCoff!S93*Prices!$L$10</f>
        <v>0</v>
      </c>
      <c r="T93" s="84">
        <f>IO_CinnCoff!T93*Prices!$L$10</f>
        <v>28912500</v>
      </c>
      <c r="U93" s="84">
        <f>IO_CinnCoff!U93*Prices!$L$10</f>
        <v>0</v>
      </c>
      <c r="V93" s="84">
        <f>IO_CinnCoff!V93*Prices!$L$10</f>
        <v>0</v>
      </c>
      <c r="W93" s="84">
        <f>IO_CinnCoff!W93*Prices!$L$10</f>
        <v>44332500.000000007</v>
      </c>
      <c r="X93" s="84">
        <f>IO_CinnCoff!X93*Prices!$L$10</f>
        <v>0</v>
      </c>
      <c r="Y93" s="84">
        <f>IO_CinnCoff!Y93*Prices!$L$10</f>
        <v>0</v>
      </c>
      <c r="Z93" s="84">
        <f>IO_CinnCoff!Z93*Prices!$L$10</f>
        <v>0</v>
      </c>
      <c r="AA93" s="84">
        <f>IO_CinnCoff!AA93*Prices!$L$10</f>
        <v>7324500</v>
      </c>
      <c r="AB93" s="84">
        <f>IO_CinnCoff!AB93*Prices!$L$10</f>
        <v>0</v>
      </c>
      <c r="AC93" s="84">
        <f>IO_CinnCoff!AC93*Prices!$L$10</f>
        <v>0</v>
      </c>
      <c r="AD93" s="84">
        <f>IO_CinnCoff!AD93*Prices!$L$10</f>
        <v>19275000</v>
      </c>
      <c r="AE93" s="84">
        <f>IO_CinnCoff!AE93*Prices!$L$10</f>
        <v>0</v>
      </c>
      <c r="AF93" s="84">
        <f>IO_CinnCoff!AF93*Prices!$L$10</f>
        <v>0</v>
      </c>
      <c r="AG93" s="84">
        <f>IO_CinnCoff!AG93*Prices!$L$10</f>
        <v>44375000.000000007</v>
      </c>
      <c r="AH93" s="85"/>
      <c r="AI93" s="85"/>
      <c r="AJ93" s="85"/>
      <c r="AK93" s="85"/>
      <c r="AL93" s="85"/>
      <c r="AM93" s="85"/>
      <c r="AN93" s="85"/>
      <c r="AO93" s="85"/>
      <c r="AP93" s="85"/>
      <c r="AQ93" s="85"/>
      <c r="AR93" s="85"/>
      <c r="AS93" s="85"/>
      <c r="AT93" s="85"/>
      <c r="AU93" s="85"/>
      <c r="AV93" s="85"/>
      <c r="AW93" s="85"/>
      <c r="AX93" s="85"/>
      <c r="AY93" s="85"/>
      <c r="AZ93" s="85"/>
      <c r="BA93" s="85"/>
      <c r="BB93" s="85"/>
      <c r="BC93" s="85"/>
      <c r="BD93" s="85"/>
      <c r="BE93" s="85"/>
      <c r="BF93" s="85"/>
    </row>
    <row r="94" spans="2:58">
      <c r="B94" s="72" t="s">
        <v>144</v>
      </c>
      <c r="C94" s="90" t="s">
        <v>7</v>
      </c>
      <c r="D94" s="84">
        <f>IO_CinnCoff!D94*Prices!$L$11</f>
        <v>0</v>
      </c>
      <c r="E94" s="84">
        <f>IO_CinnCoff!E94*Prices!$L$11</f>
        <v>0</v>
      </c>
      <c r="F94" s="84">
        <f>IO_CinnCoff!F94*Prices!$L$11</f>
        <v>0</v>
      </c>
      <c r="G94" s="84">
        <f>IO_CinnCoff!G94*Prices!$L$11</f>
        <v>0</v>
      </c>
      <c r="H94" s="84">
        <f>IO_CinnCoff!H94*Prices!$L$11</f>
        <v>0</v>
      </c>
      <c r="I94" s="84">
        <f>IO_CinnCoff!I94*Prices!$L$11</f>
        <v>2000400.0000000002</v>
      </c>
      <c r="J94" s="84">
        <f>IO_CinnCoff!J94*Prices!$L$11</f>
        <v>3000600</v>
      </c>
      <c r="K94" s="84">
        <f>IO_CinnCoff!K94*Prices!$L$11</f>
        <v>3000600</v>
      </c>
      <c r="L94" s="84">
        <f>IO_CinnCoff!L94*Prices!$L$11</f>
        <v>3000600</v>
      </c>
      <c r="M94" s="84">
        <f>IO_CinnCoff!M94*Prices!$L$11</f>
        <v>4000800.0000000005</v>
      </c>
      <c r="N94" s="84">
        <f>IO_CinnCoff!N94*Prices!$L$11</f>
        <v>3612000</v>
      </c>
      <c r="O94" s="84">
        <f>IO_CinnCoff!O94*Prices!$L$11</f>
        <v>6151200.0000000019</v>
      </c>
      <c r="P94" s="84">
        <f>IO_CinnCoff!P94*Prices!$L$11</f>
        <v>7689000</v>
      </c>
      <c r="Q94" s="84">
        <f>IO_CinnCoff!Q94*Prices!$L$11</f>
        <v>5376000.0000000009</v>
      </c>
      <c r="R94" s="84">
        <f>IO_CinnCoff!R94*Prices!$L$11</f>
        <v>6451200</v>
      </c>
      <c r="S94" s="84">
        <f>IO_CinnCoff!S94*Prices!$L$11</f>
        <v>8064000.0000000019</v>
      </c>
      <c r="T94" s="84">
        <f>IO_CinnCoff!T94*Prices!$L$11</f>
        <v>6126000.0000000009</v>
      </c>
      <c r="U94" s="84">
        <f>IO_CinnCoff!U94*Prices!$L$11</f>
        <v>7657500</v>
      </c>
      <c r="V94" s="84">
        <f>IO_CinnCoff!V94*Prices!$L$11</f>
        <v>9189000.0000000019</v>
      </c>
      <c r="W94" s="84">
        <f>IO_CinnCoff!W94*Prices!$L$11</f>
        <v>3000600</v>
      </c>
      <c r="X94" s="84">
        <f>IO_CinnCoff!X94*Prices!$L$11</f>
        <v>3000600</v>
      </c>
      <c r="Y94" s="84">
        <f>IO_CinnCoff!Y94*Prices!$L$11</f>
        <v>4800960</v>
      </c>
      <c r="Z94" s="84">
        <f>IO_CinnCoff!Z94*Prices!$L$11</f>
        <v>6001200</v>
      </c>
      <c r="AA94" s="84">
        <f>IO_CinnCoff!AA94*Prices!$L$11</f>
        <v>3612000</v>
      </c>
      <c r="AB94" s="84">
        <f>IO_CinnCoff!AB94*Prices!$L$11</f>
        <v>6151200.0000000019</v>
      </c>
      <c r="AC94" s="84">
        <f>IO_CinnCoff!AC94*Prices!$L$11</f>
        <v>7689000</v>
      </c>
      <c r="AD94" s="84">
        <f>IO_CinnCoff!AD94*Prices!$L$11</f>
        <v>5376000.0000000009</v>
      </c>
      <c r="AE94" s="84">
        <f>IO_CinnCoff!AE94*Prices!$L$11</f>
        <v>4800960</v>
      </c>
      <c r="AF94" s="84">
        <f>IO_CinnCoff!AF94*Prices!$L$11</f>
        <v>6001200</v>
      </c>
      <c r="AG94" s="84">
        <f>IO_CinnCoff!AG94*Prices!$L$11</f>
        <v>18750000</v>
      </c>
      <c r="AH94" s="85"/>
      <c r="AI94" s="85"/>
      <c r="AJ94" s="85"/>
      <c r="AK94" s="85"/>
      <c r="AL94" s="85"/>
      <c r="AM94" s="85"/>
      <c r="AN94" s="85"/>
      <c r="AO94" s="85"/>
      <c r="AP94" s="85"/>
      <c r="AQ94" s="85"/>
      <c r="AR94" s="85"/>
      <c r="AS94" s="85"/>
      <c r="AT94" s="85"/>
      <c r="AU94" s="85"/>
      <c r="AV94" s="85"/>
      <c r="AW94" s="85"/>
      <c r="AX94" s="85"/>
      <c r="AY94" s="85"/>
      <c r="AZ94" s="85"/>
      <c r="BA94" s="85"/>
      <c r="BB94" s="85"/>
      <c r="BC94" s="85"/>
      <c r="BD94" s="85"/>
      <c r="BE94" s="85"/>
      <c r="BF94" s="85"/>
    </row>
    <row r="95" spans="2:58">
      <c r="B95" s="68" t="s">
        <v>164</v>
      </c>
      <c r="C95" s="90"/>
      <c r="D95" s="84"/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5"/>
      <c r="AI95" s="85"/>
      <c r="AJ95" s="85"/>
      <c r="AK95" s="85"/>
      <c r="AL95" s="85"/>
      <c r="AM95" s="85"/>
      <c r="AN95" s="85"/>
      <c r="AO95" s="85"/>
      <c r="AP95" s="85"/>
      <c r="AQ95" s="85"/>
      <c r="AR95" s="85"/>
      <c r="AS95" s="85"/>
      <c r="AT95" s="85"/>
      <c r="AU95" s="85"/>
      <c r="AV95" s="85"/>
      <c r="AW95" s="85"/>
      <c r="AX95" s="85"/>
      <c r="AY95" s="85"/>
      <c r="AZ95" s="85"/>
      <c r="BA95" s="85"/>
      <c r="BB95" s="85"/>
      <c r="BC95" s="85"/>
      <c r="BD95" s="85"/>
      <c r="BE95" s="85"/>
      <c r="BF95" s="85"/>
    </row>
    <row r="96" spans="2:58">
      <c r="B96" s="72" t="s">
        <v>163</v>
      </c>
      <c r="C96" s="90" t="s">
        <v>7</v>
      </c>
      <c r="D96" s="84">
        <f>IO_CinnCoff!D96*Prices!$L$12</f>
        <v>0</v>
      </c>
      <c r="E96" s="84">
        <f>IO_CinnCoff!E96*Prices!$L$12</f>
        <v>0</v>
      </c>
      <c r="F96" s="84">
        <f>IO_CinnCoff!F96*Prices!$L$12</f>
        <v>0</v>
      </c>
      <c r="G96" s="84">
        <f>IO_CinnCoff!G96*Prices!$L$12</f>
        <v>0</v>
      </c>
      <c r="H96" s="84">
        <f>IO_CinnCoff!H96*Prices!$L$12</f>
        <v>0</v>
      </c>
      <c r="I96" s="84">
        <f>IO_CinnCoff!I96*Prices!$L$12</f>
        <v>0</v>
      </c>
      <c r="J96" s="84">
        <f>IO_CinnCoff!J96*Prices!$L$12</f>
        <v>0</v>
      </c>
      <c r="K96" s="84">
        <f>IO_CinnCoff!K96*Prices!$L$12</f>
        <v>0</v>
      </c>
      <c r="L96" s="84">
        <f>IO_CinnCoff!L96*Prices!$L$12</f>
        <v>0</v>
      </c>
      <c r="M96" s="84">
        <f>IO_CinnCoff!M96*Prices!$L$12</f>
        <v>0</v>
      </c>
      <c r="N96" s="84">
        <f>IO_CinnCoff!N96*Prices!$L$12</f>
        <v>0</v>
      </c>
      <c r="O96" s="84">
        <f>IO_CinnCoff!O96*Prices!$L$12</f>
        <v>0</v>
      </c>
      <c r="P96" s="84">
        <f>IO_CinnCoff!P96*Prices!$L$12</f>
        <v>0</v>
      </c>
      <c r="Q96" s="84">
        <f>IO_CinnCoff!Q96*Prices!$L$12</f>
        <v>0</v>
      </c>
      <c r="R96" s="84">
        <f>IO_CinnCoff!R96*Prices!$L$12</f>
        <v>0</v>
      </c>
      <c r="S96" s="84">
        <f>IO_CinnCoff!S96*Prices!$L$12</f>
        <v>0</v>
      </c>
      <c r="T96" s="84">
        <f>IO_CinnCoff!T96*Prices!$L$12</f>
        <v>0</v>
      </c>
      <c r="U96" s="84">
        <f>IO_CinnCoff!U96*Prices!$L$12</f>
        <v>0</v>
      </c>
      <c r="V96" s="84">
        <f>IO_CinnCoff!V96*Prices!$L$12</f>
        <v>0</v>
      </c>
      <c r="W96" s="84">
        <f>IO_CinnCoff!W96*Prices!$L$12</f>
        <v>0</v>
      </c>
      <c r="X96" s="84">
        <f>IO_CinnCoff!X96*Prices!$L$12</f>
        <v>0</v>
      </c>
      <c r="Y96" s="84">
        <f>IO_CinnCoff!Y96*Prices!$L$12</f>
        <v>0</v>
      </c>
      <c r="Z96" s="84">
        <f>IO_CinnCoff!Z96*Prices!$L$12</f>
        <v>0</v>
      </c>
      <c r="AA96" s="84">
        <f>IO_CinnCoff!AA96*Prices!$L$12</f>
        <v>0</v>
      </c>
      <c r="AB96" s="84">
        <f>IO_CinnCoff!AB96*Prices!$L$12</f>
        <v>0</v>
      </c>
      <c r="AC96" s="84">
        <f>IO_CinnCoff!AC96*Prices!$L$12</f>
        <v>0</v>
      </c>
      <c r="AD96" s="84">
        <f>IO_CinnCoff!AD96*Prices!$L$12</f>
        <v>0</v>
      </c>
      <c r="AE96" s="84">
        <f>IO_CinnCoff!AE96*Prices!$L$12</f>
        <v>0</v>
      </c>
      <c r="AF96" s="84">
        <f>IO_CinnCoff!AF96*Prices!$L$12</f>
        <v>0</v>
      </c>
      <c r="AG96" s="84">
        <f>IO_CinnCoff!AG96*Prices!$L$12</f>
        <v>0</v>
      </c>
      <c r="AH96" s="85"/>
      <c r="AI96" s="85"/>
      <c r="AJ96" s="85"/>
      <c r="AK96" s="85"/>
      <c r="AL96" s="85"/>
      <c r="AM96" s="85"/>
      <c r="AN96" s="85"/>
      <c r="AO96" s="85"/>
      <c r="AP96" s="85"/>
      <c r="AQ96" s="85"/>
      <c r="AR96" s="85"/>
      <c r="AS96" s="85"/>
      <c r="AT96" s="85"/>
      <c r="AU96" s="85"/>
      <c r="AV96" s="85"/>
      <c r="AW96" s="85"/>
      <c r="AX96" s="85"/>
      <c r="AY96" s="85"/>
      <c r="AZ96" s="85"/>
      <c r="BA96" s="85"/>
      <c r="BB96" s="85"/>
      <c r="BC96" s="85"/>
      <c r="BD96" s="85"/>
      <c r="BE96" s="85"/>
      <c r="BF96" s="85"/>
    </row>
    <row r="97" spans="2:63" s="103" customFormat="1" ht="15.6">
      <c r="B97" s="99" t="s">
        <v>153</v>
      </c>
      <c r="C97" s="100"/>
      <c r="D97" s="101">
        <f>SUM(D89:D96)</f>
        <v>0</v>
      </c>
      <c r="E97" s="101">
        <f t="shared" ref="E97:AG97" si="1">SUM(E89:E96)</f>
        <v>0</v>
      </c>
      <c r="F97" s="101">
        <f t="shared" si="1"/>
        <v>0</v>
      </c>
      <c r="G97" s="101">
        <f t="shared" si="1"/>
        <v>0</v>
      </c>
      <c r="H97" s="101">
        <f t="shared" si="1"/>
        <v>0</v>
      </c>
      <c r="I97" s="101">
        <f t="shared" si="1"/>
        <v>2000400.0000000002</v>
      </c>
      <c r="J97" s="101">
        <f t="shared" si="1"/>
        <v>3000600</v>
      </c>
      <c r="K97" s="101">
        <f t="shared" si="1"/>
        <v>3000600</v>
      </c>
      <c r="L97" s="101">
        <f t="shared" si="1"/>
        <v>3000600</v>
      </c>
      <c r="M97" s="101">
        <f t="shared" si="1"/>
        <v>4000800.0000000005</v>
      </c>
      <c r="N97" s="101">
        <f t="shared" si="1"/>
        <v>22038900</v>
      </c>
      <c r="O97" s="101">
        <f t="shared" si="1"/>
        <v>6151200.0000000019</v>
      </c>
      <c r="P97" s="101">
        <f t="shared" si="1"/>
        <v>7689000</v>
      </c>
      <c r="Q97" s="101">
        <f t="shared" si="1"/>
        <v>52407000</v>
      </c>
      <c r="R97" s="101">
        <f t="shared" si="1"/>
        <v>6451200</v>
      </c>
      <c r="S97" s="101">
        <f t="shared" si="1"/>
        <v>8064000.0000000019</v>
      </c>
      <c r="T97" s="101">
        <f t="shared" si="1"/>
        <v>80142000</v>
      </c>
      <c r="U97" s="101">
        <f t="shared" si="1"/>
        <v>7657500</v>
      </c>
      <c r="V97" s="101">
        <f t="shared" si="1"/>
        <v>9189000.0000000019</v>
      </c>
      <c r="W97" s="101">
        <f t="shared" si="1"/>
        <v>123662100</v>
      </c>
      <c r="X97" s="101">
        <f t="shared" si="1"/>
        <v>3000600</v>
      </c>
      <c r="Y97" s="101">
        <f t="shared" si="1"/>
        <v>4800960</v>
      </c>
      <c r="Z97" s="101">
        <f t="shared" si="1"/>
        <v>6001200</v>
      </c>
      <c r="AA97" s="101">
        <f t="shared" si="1"/>
        <v>22038900</v>
      </c>
      <c r="AB97" s="101">
        <f t="shared" si="1"/>
        <v>6151200.0000000019</v>
      </c>
      <c r="AC97" s="101">
        <f t="shared" si="1"/>
        <v>7689000</v>
      </c>
      <c r="AD97" s="101">
        <f t="shared" si="1"/>
        <v>52407000</v>
      </c>
      <c r="AE97" s="101">
        <f t="shared" si="1"/>
        <v>4800960</v>
      </c>
      <c r="AF97" s="101">
        <f t="shared" si="1"/>
        <v>6001200</v>
      </c>
      <c r="AG97" s="101">
        <f t="shared" si="1"/>
        <v>119375000</v>
      </c>
      <c r="AH97" s="102"/>
      <c r="AI97" s="102"/>
      <c r="AJ97" s="102"/>
      <c r="AK97" s="102"/>
      <c r="AL97" s="102"/>
      <c r="AM97" s="102"/>
      <c r="AN97" s="102"/>
      <c r="AO97" s="102"/>
      <c r="AP97" s="102"/>
      <c r="AQ97" s="102"/>
      <c r="AR97" s="102"/>
      <c r="AS97" s="102"/>
      <c r="AT97" s="102"/>
      <c r="AU97" s="102"/>
      <c r="AV97" s="102"/>
      <c r="AW97" s="102"/>
      <c r="AX97" s="102"/>
      <c r="AY97" s="102"/>
      <c r="AZ97" s="102"/>
      <c r="BA97" s="102"/>
      <c r="BB97" s="102"/>
      <c r="BC97" s="102"/>
      <c r="BD97" s="102"/>
      <c r="BE97" s="102"/>
      <c r="BF97" s="102"/>
      <c r="BG97" s="102"/>
      <c r="BH97" s="102"/>
      <c r="BI97" s="102"/>
      <c r="BJ97" s="102"/>
      <c r="BK97" s="102"/>
    </row>
    <row r="98" spans="2:63">
      <c r="D98" s="85"/>
      <c r="E98" s="85"/>
      <c r="F98" s="85"/>
      <c r="G98" s="85"/>
      <c r="H98" s="85"/>
      <c r="I98" s="85"/>
      <c r="J98" s="85"/>
      <c r="K98" s="85"/>
      <c r="L98" s="85"/>
      <c r="M98" s="85"/>
      <c r="N98" s="85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5"/>
      <c r="AM98" s="85"/>
      <c r="AN98" s="85"/>
      <c r="AO98" s="85"/>
      <c r="AP98" s="85"/>
      <c r="AQ98" s="85"/>
      <c r="AR98" s="85"/>
      <c r="AS98" s="85"/>
      <c r="AT98" s="85"/>
      <c r="AU98" s="85"/>
      <c r="AV98" s="85"/>
      <c r="AW98" s="85"/>
      <c r="AX98" s="85"/>
      <c r="AY98" s="85"/>
      <c r="AZ98" s="85"/>
      <c r="BA98" s="85"/>
      <c r="BB98" s="85"/>
      <c r="BC98" s="85"/>
      <c r="BD98" s="85"/>
      <c r="BE98" s="85"/>
      <c r="BF98" s="85"/>
    </row>
    <row r="99" spans="2:63" s="46" customFormat="1" ht="15.6">
      <c r="B99" s="69" t="s">
        <v>152</v>
      </c>
      <c r="C99" s="70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</row>
    <row r="100" spans="2:63" s="46" customFormat="1">
      <c r="B100" s="74" t="s">
        <v>81</v>
      </c>
      <c r="C100" s="92" t="s">
        <v>6</v>
      </c>
      <c r="D100" s="53">
        <f>SUM(D22:D72)</f>
        <v>11515000</v>
      </c>
      <c r="E100" s="53">
        <f t="shared" ref="E100:AG100" si="2">SUM(E22:E72)</f>
        <v>3710000</v>
      </c>
      <c r="F100" s="53">
        <f t="shared" si="2"/>
        <v>5811166.666666667</v>
      </c>
      <c r="G100" s="53">
        <f t="shared" si="2"/>
        <v>11666.666666666666</v>
      </c>
      <c r="H100" s="53">
        <f t="shared" si="2"/>
        <v>28000</v>
      </c>
      <c r="I100" s="53">
        <f t="shared" si="2"/>
        <v>246909.50666666665</v>
      </c>
      <c r="J100" s="53">
        <f t="shared" si="2"/>
        <v>368619.50999999989</v>
      </c>
      <c r="K100" s="53">
        <f t="shared" si="2"/>
        <v>385541.42666666658</v>
      </c>
      <c r="L100" s="53">
        <f t="shared" si="2"/>
        <v>1608308.8</v>
      </c>
      <c r="M100" s="53">
        <f t="shared" si="2"/>
        <v>391378.25999999989</v>
      </c>
      <c r="N100" s="53">
        <f t="shared" si="2"/>
        <v>2568883.1437499998</v>
      </c>
      <c r="O100" s="53">
        <f t="shared" si="2"/>
        <v>1057011.3600000001</v>
      </c>
      <c r="P100" s="53">
        <f t="shared" si="2"/>
        <v>1311887.325</v>
      </c>
      <c r="Q100" s="53">
        <f t="shared" si="2"/>
        <v>2776796.05</v>
      </c>
      <c r="R100" s="53">
        <f t="shared" si="2"/>
        <v>9975000</v>
      </c>
      <c r="S100" s="53">
        <f t="shared" si="2"/>
        <v>3710000</v>
      </c>
      <c r="T100" s="53">
        <f t="shared" si="2"/>
        <v>3711166.6666666665</v>
      </c>
      <c r="U100" s="53">
        <f t="shared" si="2"/>
        <v>11666.666666666666</v>
      </c>
      <c r="V100" s="53">
        <f t="shared" si="2"/>
        <v>28000</v>
      </c>
      <c r="W100" s="53">
        <f t="shared" si="2"/>
        <v>246909.50666666665</v>
      </c>
      <c r="X100" s="53">
        <f t="shared" si="2"/>
        <v>368619.50999999989</v>
      </c>
      <c r="Y100" s="53">
        <f t="shared" si="2"/>
        <v>385541.42666666658</v>
      </c>
      <c r="Z100" s="53">
        <f t="shared" si="2"/>
        <v>1608308.8</v>
      </c>
      <c r="AA100" s="53">
        <f t="shared" si="2"/>
        <v>394878.9599999999</v>
      </c>
      <c r="AB100" s="53">
        <f t="shared" si="2"/>
        <v>2577451.7999999993</v>
      </c>
      <c r="AC100" s="53">
        <f t="shared" si="2"/>
        <v>1053010.56</v>
      </c>
      <c r="AD100" s="53">
        <f t="shared" si="2"/>
        <v>1316263.1999999997</v>
      </c>
      <c r="AE100" s="53">
        <f t="shared" si="2"/>
        <v>3512140.8</v>
      </c>
      <c r="AF100" s="53">
        <f t="shared" si="2"/>
        <v>0</v>
      </c>
      <c r="AG100" s="53">
        <f t="shared" si="2"/>
        <v>0</v>
      </c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</row>
    <row r="101" spans="2:63" s="46" customFormat="1">
      <c r="B101" s="74" t="s">
        <v>154</v>
      </c>
      <c r="C101" s="92" t="s">
        <v>6</v>
      </c>
      <c r="D101" s="53">
        <f>D102-D100</f>
        <v>4292500</v>
      </c>
      <c r="E101" s="53">
        <f t="shared" ref="E101:AG101" si="3">E102-E100</f>
        <v>1</v>
      </c>
      <c r="F101" s="53">
        <f t="shared" si="3"/>
        <v>2</v>
      </c>
      <c r="G101" s="53">
        <f t="shared" si="3"/>
        <v>3</v>
      </c>
      <c r="H101" s="53">
        <f t="shared" si="3"/>
        <v>4</v>
      </c>
      <c r="I101" s="53">
        <f t="shared" si="3"/>
        <v>533445</v>
      </c>
      <c r="J101" s="53">
        <f t="shared" si="3"/>
        <v>800165.99999999988</v>
      </c>
      <c r="K101" s="53">
        <f t="shared" si="3"/>
        <v>800167</v>
      </c>
      <c r="L101" s="53">
        <f t="shared" si="3"/>
        <v>800167.99999999977</v>
      </c>
      <c r="M101" s="53">
        <f t="shared" si="3"/>
        <v>1066889</v>
      </c>
      <c r="N101" s="53">
        <f t="shared" si="3"/>
        <v>3122010</v>
      </c>
      <c r="O101" s="53">
        <f t="shared" si="3"/>
        <v>1640331.0000000002</v>
      </c>
      <c r="P101" s="53">
        <f t="shared" si="3"/>
        <v>2050412.0000000002</v>
      </c>
      <c r="Q101" s="53">
        <f t="shared" si="3"/>
        <v>6984813.0000000009</v>
      </c>
      <c r="R101" s="53">
        <f t="shared" si="3"/>
        <v>1845334</v>
      </c>
      <c r="S101" s="53">
        <f t="shared" si="3"/>
        <v>2150415</v>
      </c>
      <c r="T101" s="53">
        <f t="shared" si="3"/>
        <v>11831316.000000002</v>
      </c>
      <c r="U101" s="53">
        <f t="shared" si="3"/>
        <v>2042017</v>
      </c>
      <c r="V101" s="53">
        <f t="shared" si="3"/>
        <v>2450418.0000000005</v>
      </c>
      <c r="W101" s="53">
        <f t="shared" si="3"/>
        <v>14678179.000000002</v>
      </c>
      <c r="X101" s="53">
        <f t="shared" si="3"/>
        <v>800179.99999999988</v>
      </c>
      <c r="Y101" s="53">
        <f t="shared" si="3"/>
        <v>1280277</v>
      </c>
      <c r="Z101" s="53">
        <f t="shared" si="3"/>
        <v>1600341.9999999998</v>
      </c>
      <c r="AA101" s="53">
        <f t="shared" si="3"/>
        <v>3122023</v>
      </c>
      <c r="AB101" s="53">
        <f t="shared" si="3"/>
        <v>1640344.0000000005</v>
      </c>
      <c r="AC101" s="53">
        <f t="shared" si="3"/>
        <v>2050425</v>
      </c>
      <c r="AD101" s="53">
        <f t="shared" si="3"/>
        <v>6984826.0000000019</v>
      </c>
      <c r="AE101" s="53">
        <f t="shared" si="3"/>
        <v>1280283</v>
      </c>
      <c r="AF101" s="53">
        <f t="shared" si="3"/>
        <v>1600348</v>
      </c>
      <c r="AG101" s="53">
        <f t="shared" si="3"/>
        <v>17100029</v>
      </c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</row>
    <row r="102" spans="2:63" s="46" customFormat="1">
      <c r="B102" s="74" t="s">
        <v>153</v>
      </c>
      <c r="C102" s="92" t="s">
        <v>6</v>
      </c>
      <c r="D102" s="53">
        <f>SUM(D8:D84)</f>
        <v>15807500</v>
      </c>
      <c r="E102" s="53">
        <f t="shared" ref="E102:AG102" si="4">SUM(E8:E84)</f>
        <v>3710001</v>
      </c>
      <c r="F102" s="53">
        <f t="shared" si="4"/>
        <v>5811168.666666667</v>
      </c>
      <c r="G102" s="53">
        <f t="shared" si="4"/>
        <v>11669.666666666666</v>
      </c>
      <c r="H102" s="53">
        <f t="shared" si="4"/>
        <v>28004</v>
      </c>
      <c r="I102" s="53">
        <f t="shared" si="4"/>
        <v>780354.5066666666</v>
      </c>
      <c r="J102" s="53">
        <f t="shared" si="4"/>
        <v>1168785.5099999998</v>
      </c>
      <c r="K102" s="53">
        <f t="shared" si="4"/>
        <v>1185708.4266666665</v>
      </c>
      <c r="L102" s="53">
        <f t="shared" si="4"/>
        <v>2408476.7999999998</v>
      </c>
      <c r="M102" s="53">
        <f t="shared" si="4"/>
        <v>1458267.2599999998</v>
      </c>
      <c r="N102" s="53">
        <f t="shared" si="4"/>
        <v>5690893.1437499998</v>
      </c>
      <c r="O102" s="53">
        <f t="shared" si="4"/>
        <v>2697342.3600000003</v>
      </c>
      <c r="P102" s="53">
        <f t="shared" si="4"/>
        <v>3362299.3250000002</v>
      </c>
      <c r="Q102" s="53">
        <f t="shared" si="4"/>
        <v>9761609.0500000007</v>
      </c>
      <c r="R102" s="53">
        <f t="shared" si="4"/>
        <v>11820334</v>
      </c>
      <c r="S102" s="53">
        <f t="shared" si="4"/>
        <v>5860415</v>
      </c>
      <c r="T102" s="53">
        <f t="shared" si="4"/>
        <v>15542482.666666668</v>
      </c>
      <c r="U102" s="53">
        <f t="shared" si="4"/>
        <v>2053683.6666666667</v>
      </c>
      <c r="V102" s="53">
        <f t="shared" si="4"/>
        <v>2478418.0000000005</v>
      </c>
      <c r="W102" s="53">
        <f t="shared" si="4"/>
        <v>14925088.506666668</v>
      </c>
      <c r="X102" s="53">
        <f t="shared" si="4"/>
        <v>1168799.5099999998</v>
      </c>
      <c r="Y102" s="53">
        <f t="shared" si="4"/>
        <v>1665818.4266666665</v>
      </c>
      <c r="Z102" s="53">
        <f t="shared" si="4"/>
        <v>3208650.8</v>
      </c>
      <c r="AA102" s="53">
        <f t="shared" si="4"/>
        <v>3516901.96</v>
      </c>
      <c r="AB102" s="53">
        <f t="shared" si="4"/>
        <v>4217795.8</v>
      </c>
      <c r="AC102" s="53">
        <f t="shared" si="4"/>
        <v>3103435.56</v>
      </c>
      <c r="AD102" s="53">
        <f t="shared" si="4"/>
        <v>8301089.2000000011</v>
      </c>
      <c r="AE102" s="53">
        <f t="shared" si="4"/>
        <v>4792423.8</v>
      </c>
      <c r="AF102" s="53">
        <f t="shared" si="4"/>
        <v>1600348</v>
      </c>
      <c r="AG102" s="53">
        <f t="shared" si="4"/>
        <v>17100029</v>
      </c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</row>
    <row r="103" spans="2:63" s="46" customFormat="1" ht="15.6">
      <c r="B103" s="69" t="s">
        <v>86</v>
      </c>
      <c r="C103" s="70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  <c r="AA103" s="71"/>
      <c r="AB103" s="71"/>
      <c r="AC103" s="71"/>
      <c r="AD103" s="71"/>
      <c r="AE103" s="71"/>
      <c r="AF103" s="71"/>
      <c r="AG103" s="71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</row>
    <row r="104" spans="2:63" s="75" customFormat="1" ht="19.5" customHeight="1">
      <c r="B104" s="63" t="s">
        <v>153</v>
      </c>
      <c r="C104" s="91" t="s">
        <v>6</v>
      </c>
      <c r="D104" s="76">
        <f>D97-D102</f>
        <v>-15807500</v>
      </c>
      <c r="E104" s="76">
        <f t="shared" ref="E104:AG104" si="5">E97-E102</f>
        <v>-3710001</v>
      </c>
      <c r="F104" s="76">
        <f t="shared" si="5"/>
        <v>-5811168.666666667</v>
      </c>
      <c r="G104" s="76">
        <f t="shared" si="5"/>
        <v>-11669.666666666666</v>
      </c>
      <c r="H104" s="76">
        <f t="shared" si="5"/>
        <v>-28004</v>
      </c>
      <c r="I104" s="76">
        <f t="shared" si="5"/>
        <v>1220045.4933333336</v>
      </c>
      <c r="J104" s="76">
        <f t="shared" si="5"/>
        <v>1831814.4900000002</v>
      </c>
      <c r="K104" s="76">
        <f t="shared" si="5"/>
        <v>1814891.5733333335</v>
      </c>
      <c r="L104" s="76">
        <f t="shared" si="5"/>
        <v>592123.20000000019</v>
      </c>
      <c r="M104" s="76">
        <f t="shared" si="5"/>
        <v>2542532.7400000007</v>
      </c>
      <c r="N104" s="76">
        <f t="shared" si="5"/>
        <v>16348006.856249999</v>
      </c>
      <c r="O104" s="76">
        <f t="shared" si="5"/>
        <v>3453857.6400000015</v>
      </c>
      <c r="P104" s="76">
        <f t="shared" si="5"/>
        <v>4326700.6749999998</v>
      </c>
      <c r="Q104" s="76">
        <f t="shared" si="5"/>
        <v>42645390.950000003</v>
      </c>
      <c r="R104" s="76">
        <f t="shared" si="5"/>
        <v>-5369134</v>
      </c>
      <c r="S104" s="76">
        <f t="shared" si="5"/>
        <v>2203585.0000000019</v>
      </c>
      <c r="T104" s="76">
        <f t="shared" si="5"/>
        <v>64599517.333333328</v>
      </c>
      <c r="U104" s="76">
        <f t="shared" si="5"/>
        <v>5603816.333333333</v>
      </c>
      <c r="V104" s="76">
        <f t="shared" si="5"/>
        <v>6710582.0000000019</v>
      </c>
      <c r="W104" s="76">
        <f t="shared" si="5"/>
        <v>108737011.49333334</v>
      </c>
      <c r="X104" s="76">
        <f t="shared" si="5"/>
        <v>1831800.4900000002</v>
      </c>
      <c r="Y104" s="76">
        <f t="shared" si="5"/>
        <v>3135141.5733333332</v>
      </c>
      <c r="Z104" s="76">
        <f t="shared" si="5"/>
        <v>2792549.2</v>
      </c>
      <c r="AA104" s="76">
        <f t="shared" si="5"/>
        <v>18521998.039999999</v>
      </c>
      <c r="AB104" s="76">
        <f t="shared" si="5"/>
        <v>1933404.200000002</v>
      </c>
      <c r="AC104" s="76">
        <f t="shared" si="5"/>
        <v>4585564.4399999995</v>
      </c>
      <c r="AD104" s="76">
        <f t="shared" si="5"/>
        <v>44105910.799999997</v>
      </c>
      <c r="AE104" s="76">
        <f t="shared" si="5"/>
        <v>8536.2000000001863</v>
      </c>
      <c r="AF104" s="76">
        <f t="shared" si="5"/>
        <v>4400852</v>
      </c>
      <c r="AG104" s="76">
        <f t="shared" si="5"/>
        <v>102274971</v>
      </c>
      <c r="AH104" s="77"/>
      <c r="AI104" s="77"/>
      <c r="AJ104" s="77"/>
      <c r="AK104" s="77"/>
      <c r="AL104" s="77"/>
      <c r="AM104" s="77"/>
      <c r="AN104" s="77"/>
      <c r="AO104" s="77"/>
      <c r="AP104" s="77"/>
      <c r="AQ104" s="77"/>
      <c r="AR104" s="77"/>
      <c r="AS104" s="77"/>
      <c r="AT104" s="77"/>
      <c r="AU104" s="77"/>
      <c r="AV104" s="77"/>
      <c r="AW104" s="77"/>
      <c r="AX104" s="77"/>
      <c r="AY104" s="77"/>
      <c r="AZ104" s="77"/>
      <c r="BA104" s="77"/>
      <c r="BB104" s="77"/>
      <c r="BC104" s="77"/>
      <c r="BD104" s="77"/>
      <c r="BE104" s="77"/>
      <c r="BF104" s="77"/>
      <c r="BG104" s="77"/>
      <c r="BH104" s="77"/>
      <c r="BI104" s="77"/>
      <c r="BJ104" s="77"/>
      <c r="BK104" s="77"/>
    </row>
    <row r="105" spans="2:63" s="46" customFormat="1"/>
    <row r="106" spans="2:63" s="46" customFormat="1" ht="15.6">
      <c r="B106" s="69" t="s">
        <v>161</v>
      </c>
      <c r="C106" s="81">
        <f>NPV(rate_private,D104:AG104)</f>
        <v>71218315.437095463</v>
      </c>
    </row>
    <row r="108" spans="2:63">
      <c r="B108" s="55"/>
      <c r="D108" s="56"/>
      <c r="E108" s="56"/>
      <c r="F108" s="56"/>
      <c r="G108" s="56"/>
      <c r="H108" s="56"/>
    </row>
    <row r="109" spans="2:63" ht="13.8">
      <c r="B109" s="86"/>
      <c r="C109" s="87"/>
      <c r="D109" s="87"/>
      <c r="E109" s="87"/>
      <c r="F109" s="87"/>
      <c r="G109" s="87"/>
      <c r="H109" s="87"/>
    </row>
    <row r="110" spans="2:63" ht="13.8">
      <c r="B110" s="86"/>
    </row>
    <row r="112" spans="2:63" ht="16.2">
      <c r="B112" s="88"/>
    </row>
    <row r="113" spans="2:2" ht="13.8">
      <c r="B113" s="86"/>
    </row>
    <row r="114" spans="2:2" ht="13.8">
      <c r="B114" s="86"/>
    </row>
    <row r="115" spans="2:2" ht="13.8">
      <c r="B115" s="8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Summary</vt:lpstr>
      <vt:lpstr>Prices</vt:lpstr>
      <vt:lpstr>IO_CinnCoff</vt:lpstr>
      <vt:lpstr>FB_CinCoff</vt:lpstr>
      <vt:lpstr>nilai_tukar</vt:lpstr>
      <vt:lpstr>rate_private</vt:lpstr>
      <vt:lpstr>rate_social</vt:lpstr>
    </vt:vector>
  </TitlesOfParts>
  <Company>ICRAF Southeast Asian Research Programme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Suseno Budidarsono</dc:creator>
  <cp:lastModifiedBy>Sofiyuddin, Muhammad   (ICRAF)</cp:lastModifiedBy>
  <cp:lastPrinted>2003-01-02T03:16:49Z</cp:lastPrinted>
  <dcterms:created xsi:type="dcterms:W3CDTF">2001-08-01T08:55:37Z</dcterms:created>
  <dcterms:modified xsi:type="dcterms:W3CDTF">2018-09-01T03:37:50Z</dcterms:modified>
</cp:coreProperties>
</file>