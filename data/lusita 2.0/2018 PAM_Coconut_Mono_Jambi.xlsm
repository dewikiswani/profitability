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w\ICRAF\profitability\data\lusita 2.0\"/>
    </mc:Choice>
  </mc:AlternateContent>
  <bookViews>
    <workbookView xWindow="9600" yWindow="-12" windowWidth="9648" windowHeight="8160" tabRatio="783" activeTab="5"/>
  </bookViews>
  <sheets>
    <sheet name="Summary" sheetId="14" r:id="rId1"/>
    <sheet name="Tabel Harga" sheetId="4" r:id="rId2"/>
    <sheet name="price.in" sheetId="19" r:id="rId3"/>
    <sheet name="price.out" sheetId="20" r:id="rId4"/>
    <sheet name="Tabel Input-Output" sheetId="1" r:id="rId5"/>
    <sheet name="io.in" sheetId="17" r:id="rId6"/>
    <sheet name="io.out" sheetId="18" r:id="rId7"/>
    <sheet name="FarmBudget Privat" sheetId="5" r:id="rId8"/>
    <sheet name="FarmBudget Sosial" sheetId="6" r:id="rId9"/>
    <sheet name="FieldData" sheetId="15" r:id="rId10"/>
    <sheet name="Sheet1" sheetId="16" r:id="rId11"/>
  </sheets>
  <definedNames>
    <definedName name="nilai_tukar">Summary!$D$9</definedName>
    <definedName name="rate_private">Summary!$D$7</definedName>
    <definedName name="rate_social">Summary!$D$8</definedName>
  </definedNames>
  <calcPr calcId="152511" iterateDelta="0.01"/>
</workbook>
</file>

<file path=xl/calcChain.xml><?xml version="1.0" encoding="utf-8"?>
<calcChain xmlns="http://schemas.openxmlformats.org/spreadsheetml/2006/main">
  <c r="E43" i="1" l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D43" i="1"/>
  <c r="E40" i="1"/>
  <c r="F40" i="1"/>
  <c r="F40" i="5" s="1"/>
  <c r="G40" i="1"/>
  <c r="H40" i="1"/>
  <c r="H40" i="5" s="1"/>
  <c r="I40" i="1"/>
  <c r="J40" i="1"/>
  <c r="J40" i="5" s="1"/>
  <c r="K40" i="1"/>
  <c r="L40" i="1"/>
  <c r="L40" i="5" s="1"/>
  <c r="M40" i="1"/>
  <c r="N40" i="1"/>
  <c r="N40" i="5" s="1"/>
  <c r="O40" i="1"/>
  <c r="P40" i="1"/>
  <c r="P40" i="5" s="1"/>
  <c r="Q40" i="1"/>
  <c r="R40" i="1"/>
  <c r="R40" i="5" s="1"/>
  <c r="S40" i="1"/>
  <c r="T40" i="1"/>
  <c r="T40" i="5" s="1"/>
  <c r="U40" i="1"/>
  <c r="V40" i="1"/>
  <c r="V40" i="5" s="1"/>
  <c r="W40" i="1"/>
  <c r="X40" i="1"/>
  <c r="X40" i="5" s="1"/>
  <c r="Y40" i="1"/>
  <c r="Z40" i="1"/>
  <c r="Z40" i="5" s="1"/>
  <c r="AA40" i="1"/>
  <c r="AB40" i="1"/>
  <c r="AB40" i="5" s="1"/>
  <c r="AC40" i="1"/>
  <c r="AD40" i="1"/>
  <c r="AD40" i="5" s="1"/>
  <c r="AE40" i="1"/>
  <c r="AF40" i="1"/>
  <c r="AF40" i="5" s="1"/>
  <c r="AG40" i="1"/>
  <c r="D40" i="1"/>
  <c r="E23" i="15"/>
  <c r="E22" i="15"/>
  <c r="E21" i="15"/>
  <c r="E24" i="15"/>
  <c r="E40" i="5"/>
  <c r="G40" i="5"/>
  <c r="I40" i="5"/>
  <c r="K40" i="5"/>
  <c r="M40" i="5"/>
  <c r="O40" i="5"/>
  <c r="Q40" i="5"/>
  <c r="S40" i="5"/>
  <c r="U40" i="5"/>
  <c r="W40" i="5"/>
  <c r="Y40" i="5"/>
  <c r="AA40" i="5"/>
  <c r="AC40" i="5"/>
  <c r="AE40" i="5"/>
  <c r="AG40" i="5"/>
  <c r="D43" i="5"/>
  <c r="F35" i="4"/>
  <c r="E35" i="4"/>
  <c r="H60" i="4" l="1"/>
  <c r="D61" i="4"/>
  <c r="F34" i="4" l="1"/>
  <c r="E34" i="4"/>
  <c r="E12" i="15" l="1"/>
  <c r="F9" i="16"/>
  <c r="F21" i="16" s="1"/>
  <c r="Q8" i="15" l="1"/>
  <c r="U8" i="15"/>
  <c r="N8" i="15"/>
  <c r="R8" i="15"/>
  <c r="V8" i="15"/>
  <c r="O8" i="15"/>
  <c r="S8" i="15"/>
  <c r="M8" i="15"/>
  <c r="P8" i="15"/>
  <c r="T8" i="15"/>
  <c r="F20" i="16"/>
  <c r="F18" i="16"/>
  <c r="F19" i="16"/>
  <c r="W34" i="1"/>
  <c r="AB8" i="15"/>
  <c r="K8" i="15" l="1"/>
  <c r="L8" i="15"/>
  <c r="X8" i="15"/>
  <c r="Y34" i="1" s="1"/>
  <c r="AA8" i="15"/>
  <c r="AB34" i="1" s="1"/>
  <c r="W8" i="15"/>
  <c r="X34" i="1" s="1"/>
  <c r="AC8" i="15"/>
  <c r="AD34" i="1" s="1"/>
  <c r="Y8" i="15"/>
  <c r="Z34" i="1" s="1"/>
  <c r="AD8" i="15"/>
  <c r="AE34" i="1" s="1"/>
  <c r="Z8" i="15"/>
  <c r="AA34" i="1" s="1"/>
  <c r="AE8" i="15"/>
  <c r="AF34" i="1" s="1"/>
  <c r="AF8" i="15"/>
  <c r="I8" i="15"/>
  <c r="J8" i="15"/>
  <c r="H8" i="15"/>
  <c r="AC34" i="1"/>
  <c r="AG34" i="1"/>
  <c r="T34" i="1" l="1"/>
  <c r="U34" i="1"/>
  <c r="Q34" i="1"/>
  <c r="M34" i="1"/>
  <c r="L34" i="1"/>
  <c r="V34" i="1"/>
  <c r="R34" i="1"/>
  <c r="N34" i="1"/>
  <c r="P34" i="1"/>
  <c r="S34" i="1"/>
  <c r="O34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D32" i="1"/>
  <c r="F19" i="4"/>
  <c r="F21" i="4"/>
  <c r="F40" i="4"/>
  <c r="T40" i="6" s="1"/>
  <c r="M18" i="1"/>
  <c r="Q18" i="1"/>
  <c r="U18" i="1"/>
  <c r="Y18" i="1"/>
  <c r="AC18" i="1"/>
  <c r="AG18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Y29" i="15"/>
  <c r="AA29" i="15" s="1"/>
  <c r="Y28" i="15"/>
  <c r="D31" i="1"/>
  <c r="F20" i="4"/>
  <c r="F14" i="4"/>
  <c r="D14" i="6" s="1"/>
  <c r="K10" i="14"/>
  <c r="K9" i="14"/>
  <c r="AB21" i="15"/>
  <c r="AB20" i="15"/>
  <c r="AB22" i="15" s="1"/>
  <c r="AB23" i="15" s="1"/>
  <c r="T44" i="15"/>
  <c r="R44" i="15"/>
  <c r="P44" i="15"/>
  <c r="N44" i="15"/>
  <c r="V41" i="15"/>
  <c r="V39" i="15"/>
  <c r="V37" i="15"/>
  <c r="V35" i="15"/>
  <c r="V33" i="15"/>
  <c r="V31" i="15"/>
  <c r="V29" i="15"/>
  <c r="V27" i="15"/>
  <c r="V25" i="15"/>
  <c r="V23" i="15"/>
  <c r="V21" i="15"/>
  <c r="V19" i="15"/>
  <c r="V17" i="15"/>
  <c r="L18" i="1"/>
  <c r="N18" i="1"/>
  <c r="O18" i="1"/>
  <c r="P18" i="1"/>
  <c r="V18" i="1"/>
  <c r="W18" i="1"/>
  <c r="X18" i="1"/>
  <c r="Z18" i="1"/>
  <c r="AA18" i="1"/>
  <c r="AB18" i="1"/>
  <c r="AD18" i="1"/>
  <c r="AE18" i="1"/>
  <c r="AF18" i="1"/>
  <c r="D18" i="1"/>
  <c r="D55" i="1"/>
  <c r="E28" i="4"/>
  <c r="E27" i="4"/>
  <c r="F28" i="4"/>
  <c r="F27" i="4"/>
  <c r="F35" i="5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I40" i="6" l="1"/>
  <c r="K40" i="6"/>
  <c r="O40" i="6"/>
  <c r="P40" i="6"/>
  <c r="R40" i="6"/>
  <c r="L40" i="6"/>
  <c r="Q40" i="6"/>
  <c r="W40" i="6"/>
  <c r="Y40" i="6"/>
  <c r="Z40" i="6"/>
  <c r="AF40" i="6"/>
  <c r="AD40" i="6"/>
  <c r="AE40" i="6"/>
  <c r="AB40" i="6"/>
  <c r="AA40" i="6"/>
  <c r="X40" i="6"/>
  <c r="AG40" i="6"/>
  <c r="AC40" i="6"/>
  <c r="S40" i="6"/>
  <c r="N40" i="6"/>
  <c r="V40" i="6"/>
  <c r="M40" i="6"/>
  <c r="U40" i="6"/>
  <c r="E18" i="1"/>
  <c r="E40" i="6"/>
  <c r="D40" i="5"/>
  <c r="D40" i="6"/>
  <c r="J34" i="1"/>
  <c r="J40" i="6"/>
  <c r="F18" i="1"/>
  <c r="F40" i="6"/>
  <c r="H34" i="1"/>
  <c r="H40" i="6"/>
  <c r="G40" i="6"/>
  <c r="K34" i="1"/>
  <c r="I18" i="1"/>
  <c r="I34" i="1"/>
  <c r="J35" i="1"/>
  <c r="J35" i="6" s="1"/>
  <c r="I35" i="1"/>
  <c r="I35" i="6" s="1"/>
  <c r="K18" i="1"/>
  <c r="G34" i="1"/>
  <c r="G35" i="1"/>
  <c r="G35" i="5" s="1"/>
  <c r="K35" i="1"/>
  <c r="K35" i="5" s="1"/>
  <c r="H35" i="1"/>
  <c r="H35" i="5" s="1"/>
  <c r="G18" i="1"/>
  <c r="J18" i="1"/>
  <c r="H18" i="1"/>
  <c r="R18" i="1"/>
  <c r="S18" i="1"/>
  <c r="T18" i="1"/>
  <c r="F35" i="6"/>
  <c r="L35" i="6"/>
  <c r="N35" i="6"/>
  <c r="P35" i="6"/>
  <c r="R35" i="6"/>
  <c r="T35" i="6"/>
  <c r="V35" i="6"/>
  <c r="X35" i="6"/>
  <c r="Z35" i="6"/>
  <c r="AB35" i="6"/>
  <c r="AD35" i="6"/>
  <c r="AF35" i="6"/>
  <c r="D35" i="6"/>
  <c r="E35" i="6"/>
  <c r="M35" i="6"/>
  <c r="O35" i="6"/>
  <c r="Q35" i="6"/>
  <c r="S35" i="6"/>
  <c r="U35" i="6"/>
  <c r="W35" i="6"/>
  <c r="Y35" i="6"/>
  <c r="AA35" i="6"/>
  <c r="AC35" i="6"/>
  <c r="AE35" i="6"/>
  <c r="AG35" i="6"/>
  <c r="F27" i="6"/>
  <c r="H27" i="6"/>
  <c r="J27" i="6"/>
  <c r="L27" i="6"/>
  <c r="N27" i="6"/>
  <c r="P27" i="6"/>
  <c r="R27" i="6"/>
  <c r="T27" i="6"/>
  <c r="V27" i="6"/>
  <c r="X27" i="6"/>
  <c r="Z27" i="6"/>
  <c r="AB27" i="6"/>
  <c r="AD27" i="6"/>
  <c r="AF27" i="6"/>
  <c r="E27" i="6"/>
  <c r="G27" i="6"/>
  <c r="I27" i="6"/>
  <c r="K27" i="6"/>
  <c r="M27" i="6"/>
  <c r="O27" i="6"/>
  <c r="Q27" i="6"/>
  <c r="S27" i="6"/>
  <c r="U27" i="6"/>
  <c r="W27" i="6"/>
  <c r="Y27" i="6"/>
  <c r="AA27" i="6"/>
  <c r="AC27" i="6"/>
  <c r="AE27" i="6"/>
  <c r="AG27" i="6"/>
  <c r="F27" i="5"/>
  <c r="H27" i="5"/>
  <c r="J27" i="5"/>
  <c r="L27" i="5"/>
  <c r="N27" i="5"/>
  <c r="P27" i="5"/>
  <c r="R27" i="5"/>
  <c r="T27" i="5"/>
  <c r="V27" i="5"/>
  <c r="X27" i="5"/>
  <c r="Z27" i="5"/>
  <c r="AB27" i="5"/>
  <c r="AD27" i="5"/>
  <c r="AF27" i="5"/>
  <c r="E27" i="5"/>
  <c r="G27" i="5"/>
  <c r="I27" i="5"/>
  <c r="K27" i="5"/>
  <c r="M27" i="5"/>
  <c r="O27" i="5"/>
  <c r="Q27" i="5"/>
  <c r="S27" i="5"/>
  <c r="U27" i="5"/>
  <c r="W27" i="5"/>
  <c r="Y27" i="5"/>
  <c r="AA27" i="5"/>
  <c r="AC27" i="5"/>
  <c r="AE27" i="5"/>
  <c r="AG27" i="5"/>
  <c r="AG35" i="5"/>
  <c r="AE35" i="5"/>
  <c r="AC35" i="5"/>
  <c r="AA35" i="5"/>
  <c r="Y35" i="5"/>
  <c r="W35" i="5"/>
  <c r="U35" i="5"/>
  <c r="S35" i="5"/>
  <c r="Q35" i="5"/>
  <c r="O35" i="5"/>
  <c r="M35" i="5"/>
  <c r="E35" i="5"/>
  <c r="E28" i="6"/>
  <c r="G28" i="6"/>
  <c r="I28" i="6"/>
  <c r="K28" i="6"/>
  <c r="M28" i="6"/>
  <c r="O28" i="6"/>
  <c r="Q28" i="6"/>
  <c r="S28" i="6"/>
  <c r="U28" i="6"/>
  <c r="W28" i="6"/>
  <c r="Y28" i="6"/>
  <c r="AA28" i="6"/>
  <c r="AC28" i="6"/>
  <c r="AE28" i="6"/>
  <c r="AG28" i="6"/>
  <c r="F28" i="6"/>
  <c r="H28" i="6"/>
  <c r="J28" i="6"/>
  <c r="L28" i="6"/>
  <c r="N28" i="6"/>
  <c r="P28" i="6"/>
  <c r="R28" i="6"/>
  <c r="T28" i="6"/>
  <c r="V28" i="6"/>
  <c r="X28" i="6"/>
  <c r="Z28" i="6"/>
  <c r="AB28" i="6"/>
  <c r="AD28" i="6"/>
  <c r="AF28" i="6"/>
  <c r="E28" i="5"/>
  <c r="G28" i="5"/>
  <c r="I28" i="5"/>
  <c r="K28" i="5"/>
  <c r="M28" i="5"/>
  <c r="O28" i="5"/>
  <c r="Q28" i="5"/>
  <c r="S28" i="5"/>
  <c r="U28" i="5"/>
  <c r="W28" i="5"/>
  <c r="Y28" i="5"/>
  <c r="AA28" i="5"/>
  <c r="AC28" i="5"/>
  <c r="AE28" i="5"/>
  <c r="AG28" i="5"/>
  <c r="F28" i="5"/>
  <c r="H28" i="5"/>
  <c r="J28" i="5"/>
  <c r="L28" i="5"/>
  <c r="N28" i="5"/>
  <c r="P28" i="5"/>
  <c r="R28" i="5"/>
  <c r="T28" i="5"/>
  <c r="V28" i="5"/>
  <c r="X28" i="5"/>
  <c r="Z28" i="5"/>
  <c r="AB28" i="5"/>
  <c r="AD28" i="5"/>
  <c r="AF28" i="5"/>
  <c r="D35" i="5"/>
  <c r="AF35" i="5"/>
  <c r="AD35" i="5"/>
  <c r="AB35" i="5"/>
  <c r="Z35" i="5"/>
  <c r="X35" i="5"/>
  <c r="V35" i="5"/>
  <c r="T35" i="5"/>
  <c r="R35" i="5"/>
  <c r="P35" i="5"/>
  <c r="N35" i="5"/>
  <c r="L35" i="5"/>
  <c r="H43" i="6" l="1"/>
  <c r="G43" i="6"/>
  <c r="G35" i="6"/>
  <c r="J35" i="5"/>
  <c r="I35" i="5"/>
  <c r="K35" i="6"/>
  <c r="H35" i="6"/>
  <c r="F43" i="6"/>
  <c r="E43" i="6"/>
  <c r="D43" i="6"/>
  <c r="L43" i="6"/>
  <c r="P43" i="6"/>
  <c r="T43" i="6"/>
  <c r="X43" i="6"/>
  <c r="AB43" i="6"/>
  <c r="AF43" i="6"/>
  <c r="I43" i="6"/>
  <c r="M43" i="6"/>
  <c r="Q43" i="6"/>
  <c r="U43" i="6"/>
  <c r="Y43" i="6"/>
  <c r="AC43" i="6"/>
  <c r="AG43" i="6"/>
  <c r="J43" i="6"/>
  <c r="N43" i="6"/>
  <c r="R43" i="6"/>
  <c r="V43" i="6"/>
  <c r="Z43" i="6"/>
  <c r="AD43" i="6"/>
  <c r="K43" i="6"/>
  <c r="O43" i="6"/>
  <c r="S43" i="6"/>
  <c r="W43" i="6"/>
  <c r="AA43" i="6"/>
  <c r="AE43" i="6"/>
  <c r="E23" i="6" l="1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D23" i="6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E23" i="5"/>
  <c r="F23" i="5"/>
  <c r="G23" i="5"/>
  <c r="H23" i="5"/>
  <c r="D23" i="5"/>
  <c r="E11" i="1"/>
  <c r="F11" i="1"/>
  <c r="D11" i="1"/>
  <c r="D28" i="1" l="1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D22" i="5"/>
  <c r="D21" i="5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D22" i="6"/>
  <c r="D21" i="6"/>
  <c r="D28" i="6" l="1"/>
  <c r="D28" i="5"/>
  <c r="D27" i="5"/>
  <c r="D27" i="6"/>
  <c r="F30" i="4"/>
  <c r="E30" i="4"/>
  <c r="F33" i="4"/>
  <c r="E33" i="4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D14" i="5"/>
  <c r="F11" i="4"/>
  <c r="B2" i="1"/>
  <c r="C2" i="4" s="1"/>
  <c r="B2" i="5" s="1"/>
  <c r="B2" i="6" s="1"/>
  <c r="E45" i="6"/>
  <c r="F29" i="4"/>
  <c r="F31" i="4"/>
  <c r="F32" i="4"/>
  <c r="E29" i="4"/>
  <c r="E31" i="4"/>
  <c r="E32" i="4"/>
  <c r="E34" i="6" l="1"/>
  <c r="G34" i="6"/>
  <c r="I34" i="6"/>
  <c r="K34" i="6"/>
  <c r="M34" i="6"/>
  <c r="O34" i="6"/>
  <c r="Q34" i="6"/>
  <c r="S34" i="6"/>
  <c r="U34" i="6"/>
  <c r="W34" i="6"/>
  <c r="Y34" i="6"/>
  <c r="AA34" i="6"/>
  <c r="AC34" i="6"/>
  <c r="AE34" i="6"/>
  <c r="AG34" i="6"/>
  <c r="F34" i="6"/>
  <c r="H34" i="6"/>
  <c r="J34" i="6"/>
  <c r="L34" i="6"/>
  <c r="N34" i="6"/>
  <c r="P34" i="6"/>
  <c r="R34" i="6"/>
  <c r="T34" i="6"/>
  <c r="V34" i="6"/>
  <c r="X34" i="6"/>
  <c r="Z34" i="6"/>
  <c r="AB34" i="6"/>
  <c r="AD34" i="6"/>
  <c r="AF34" i="6"/>
  <c r="D34" i="6"/>
  <c r="E34" i="5"/>
  <c r="G34" i="5"/>
  <c r="I34" i="5"/>
  <c r="K34" i="5"/>
  <c r="M34" i="5"/>
  <c r="O34" i="5"/>
  <c r="Q34" i="5"/>
  <c r="S34" i="5"/>
  <c r="U34" i="5"/>
  <c r="W34" i="5"/>
  <c r="Y34" i="5"/>
  <c r="AA34" i="5"/>
  <c r="AC34" i="5"/>
  <c r="AE34" i="5"/>
  <c r="AG34" i="5"/>
  <c r="F34" i="5"/>
  <c r="H34" i="5"/>
  <c r="J34" i="5"/>
  <c r="L34" i="5"/>
  <c r="N34" i="5"/>
  <c r="P34" i="5"/>
  <c r="R34" i="5"/>
  <c r="T34" i="5"/>
  <c r="V34" i="5"/>
  <c r="X34" i="5"/>
  <c r="Z34" i="5"/>
  <c r="AB34" i="5"/>
  <c r="AD34" i="5"/>
  <c r="AF34" i="5"/>
  <c r="D34" i="5"/>
  <c r="F31" i="5"/>
  <c r="H31" i="5"/>
  <c r="J31" i="5"/>
  <c r="L31" i="5"/>
  <c r="N31" i="5"/>
  <c r="P31" i="5"/>
  <c r="R31" i="5"/>
  <c r="T31" i="5"/>
  <c r="V31" i="5"/>
  <c r="X31" i="5"/>
  <c r="Z31" i="5"/>
  <c r="AB31" i="5"/>
  <c r="AD31" i="5"/>
  <c r="AF31" i="5"/>
  <c r="E31" i="5"/>
  <c r="G31" i="5"/>
  <c r="I31" i="5"/>
  <c r="K31" i="5"/>
  <c r="M31" i="5"/>
  <c r="O31" i="5"/>
  <c r="Q31" i="5"/>
  <c r="S31" i="5"/>
  <c r="U31" i="5"/>
  <c r="W31" i="5"/>
  <c r="Y31" i="5"/>
  <c r="AA31" i="5"/>
  <c r="AC31" i="5"/>
  <c r="AE31" i="5"/>
  <c r="D31" i="5"/>
  <c r="AG31" i="5"/>
  <c r="F31" i="6"/>
  <c r="H31" i="6"/>
  <c r="J31" i="6"/>
  <c r="L31" i="6"/>
  <c r="N31" i="6"/>
  <c r="P31" i="6"/>
  <c r="R31" i="6"/>
  <c r="T31" i="6"/>
  <c r="V31" i="6"/>
  <c r="X31" i="6"/>
  <c r="Z31" i="6"/>
  <c r="AB31" i="6"/>
  <c r="AD31" i="6"/>
  <c r="AF31" i="6"/>
  <c r="D31" i="6"/>
  <c r="E31" i="6"/>
  <c r="G31" i="6"/>
  <c r="I31" i="6"/>
  <c r="K31" i="6"/>
  <c r="M31" i="6"/>
  <c r="O31" i="6"/>
  <c r="Q31" i="6"/>
  <c r="S31" i="6"/>
  <c r="U31" i="6"/>
  <c r="W31" i="6"/>
  <c r="Y31" i="6"/>
  <c r="AA31" i="6"/>
  <c r="AC31" i="6"/>
  <c r="AE31" i="6"/>
  <c r="AG31" i="6"/>
  <c r="F33" i="6"/>
  <c r="H33" i="6"/>
  <c r="J33" i="6"/>
  <c r="L33" i="6"/>
  <c r="N33" i="6"/>
  <c r="P33" i="6"/>
  <c r="R33" i="6"/>
  <c r="T33" i="6"/>
  <c r="V33" i="6"/>
  <c r="X33" i="6"/>
  <c r="Z33" i="6"/>
  <c r="AB33" i="6"/>
  <c r="AD33" i="6"/>
  <c r="AF33" i="6"/>
  <c r="D33" i="6"/>
  <c r="E33" i="6"/>
  <c r="G33" i="6"/>
  <c r="I33" i="6"/>
  <c r="K33" i="6"/>
  <c r="M33" i="6"/>
  <c r="O33" i="6"/>
  <c r="Q33" i="6"/>
  <c r="S33" i="6"/>
  <c r="U33" i="6"/>
  <c r="W33" i="6"/>
  <c r="Y33" i="6"/>
  <c r="AA33" i="6"/>
  <c r="AC33" i="6"/>
  <c r="AE33" i="6"/>
  <c r="AG33" i="6"/>
  <c r="E30" i="6"/>
  <c r="G30" i="6"/>
  <c r="I30" i="6"/>
  <c r="K30" i="6"/>
  <c r="M30" i="6"/>
  <c r="O30" i="6"/>
  <c r="Q30" i="6"/>
  <c r="S30" i="6"/>
  <c r="U30" i="6"/>
  <c r="W30" i="6"/>
  <c r="Y30" i="6"/>
  <c r="AA30" i="6"/>
  <c r="AC30" i="6"/>
  <c r="AE30" i="6"/>
  <c r="AG30" i="6"/>
  <c r="F30" i="6"/>
  <c r="H30" i="6"/>
  <c r="J30" i="6"/>
  <c r="L30" i="6"/>
  <c r="N30" i="6"/>
  <c r="P30" i="6"/>
  <c r="R30" i="6"/>
  <c r="T30" i="6"/>
  <c r="V30" i="6"/>
  <c r="X30" i="6"/>
  <c r="Z30" i="6"/>
  <c r="AB30" i="6"/>
  <c r="AD30" i="6"/>
  <c r="AF30" i="6"/>
  <c r="D30" i="6"/>
  <c r="E32" i="5"/>
  <c r="G32" i="5"/>
  <c r="I32" i="5"/>
  <c r="K32" i="5"/>
  <c r="F32" i="5"/>
  <c r="J32" i="5"/>
  <c r="M32" i="5"/>
  <c r="O32" i="5"/>
  <c r="Q32" i="5"/>
  <c r="S32" i="5"/>
  <c r="U32" i="5"/>
  <c r="W32" i="5"/>
  <c r="Y32" i="5"/>
  <c r="AA32" i="5"/>
  <c r="AC32" i="5"/>
  <c r="AE32" i="5"/>
  <c r="AG32" i="5"/>
  <c r="H32" i="5"/>
  <c r="L32" i="5"/>
  <c r="N32" i="5"/>
  <c r="P32" i="5"/>
  <c r="R32" i="5"/>
  <c r="T32" i="5"/>
  <c r="V32" i="5"/>
  <c r="X32" i="5"/>
  <c r="Z32" i="5"/>
  <c r="AB32" i="5"/>
  <c r="AD32" i="5"/>
  <c r="AF32" i="5"/>
  <c r="D32" i="5"/>
  <c r="F29" i="5"/>
  <c r="H29" i="5"/>
  <c r="J29" i="5"/>
  <c r="L29" i="5"/>
  <c r="N29" i="5"/>
  <c r="P29" i="5"/>
  <c r="R29" i="5"/>
  <c r="T29" i="5"/>
  <c r="V29" i="5"/>
  <c r="X29" i="5"/>
  <c r="Z29" i="5"/>
  <c r="AB29" i="5"/>
  <c r="AD29" i="5"/>
  <c r="AF29" i="5"/>
  <c r="E29" i="5"/>
  <c r="G29" i="5"/>
  <c r="I29" i="5"/>
  <c r="K29" i="5"/>
  <c r="M29" i="5"/>
  <c r="O29" i="5"/>
  <c r="Q29" i="5"/>
  <c r="S29" i="5"/>
  <c r="U29" i="5"/>
  <c r="W29" i="5"/>
  <c r="Y29" i="5"/>
  <c r="AA29" i="5"/>
  <c r="AC29" i="5"/>
  <c r="AE29" i="5"/>
  <c r="AG29" i="5"/>
  <c r="D29" i="5"/>
  <c r="E32" i="6"/>
  <c r="G32" i="6"/>
  <c r="I32" i="6"/>
  <c r="K32" i="6"/>
  <c r="M32" i="6"/>
  <c r="O32" i="6"/>
  <c r="Q32" i="6"/>
  <c r="S32" i="6"/>
  <c r="U32" i="6"/>
  <c r="W32" i="6"/>
  <c r="Y32" i="6"/>
  <c r="AA32" i="6"/>
  <c r="AC32" i="6"/>
  <c r="AE32" i="6"/>
  <c r="AG32" i="6"/>
  <c r="F32" i="6"/>
  <c r="H32" i="6"/>
  <c r="J32" i="6"/>
  <c r="L32" i="6"/>
  <c r="N32" i="6"/>
  <c r="P32" i="6"/>
  <c r="R32" i="6"/>
  <c r="T32" i="6"/>
  <c r="V32" i="6"/>
  <c r="X32" i="6"/>
  <c r="Z32" i="6"/>
  <c r="AB32" i="6"/>
  <c r="AD32" i="6"/>
  <c r="AF32" i="6"/>
  <c r="D32" i="6"/>
  <c r="F29" i="6"/>
  <c r="H29" i="6"/>
  <c r="J29" i="6"/>
  <c r="L29" i="6"/>
  <c r="N29" i="6"/>
  <c r="P29" i="6"/>
  <c r="R29" i="6"/>
  <c r="T29" i="6"/>
  <c r="V29" i="6"/>
  <c r="X29" i="6"/>
  <c r="Z29" i="6"/>
  <c r="AB29" i="6"/>
  <c r="AD29" i="6"/>
  <c r="AF29" i="6"/>
  <c r="D29" i="6"/>
  <c r="E29" i="6"/>
  <c r="G29" i="6"/>
  <c r="I29" i="6"/>
  <c r="K29" i="6"/>
  <c r="M29" i="6"/>
  <c r="O29" i="6"/>
  <c r="Q29" i="6"/>
  <c r="S29" i="6"/>
  <c r="U29" i="6"/>
  <c r="W29" i="6"/>
  <c r="Y29" i="6"/>
  <c r="AA29" i="6"/>
  <c r="AC29" i="6"/>
  <c r="AE29" i="6"/>
  <c r="AG29" i="6"/>
  <c r="F33" i="5"/>
  <c r="H33" i="5"/>
  <c r="J33" i="5"/>
  <c r="L33" i="5"/>
  <c r="N33" i="5"/>
  <c r="P33" i="5"/>
  <c r="R33" i="5"/>
  <c r="T33" i="5"/>
  <c r="V33" i="5"/>
  <c r="X33" i="5"/>
  <c r="Z33" i="5"/>
  <c r="AB33" i="5"/>
  <c r="AD33" i="5"/>
  <c r="AF33" i="5"/>
  <c r="D33" i="5"/>
  <c r="E33" i="5"/>
  <c r="G33" i="5"/>
  <c r="I33" i="5"/>
  <c r="K33" i="5"/>
  <c r="M33" i="5"/>
  <c r="O33" i="5"/>
  <c r="Q33" i="5"/>
  <c r="S33" i="5"/>
  <c r="U33" i="5"/>
  <c r="W33" i="5"/>
  <c r="Y33" i="5"/>
  <c r="AA33" i="5"/>
  <c r="AC33" i="5"/>
  <c r="AE33" i="5"/>
  <c r="AG33" i="5"/>
  <c r="E30" i="5"/>
  <c r="G30" i="5"/>
  <c r="I30" i="5"/>
  <c r="K30" i="5"/>
  <c r="M30" i="5"/>
  <c r="O30" i="5"/>
  <c r="Q30" i="5"/>
  <c r="S30" i="5"/>
  <c r="U30" i="5"/>
  <c r="W30" i="5"/>
  <c r="Y30" i="5"/>
  <c r="AA30" i="5"/>
  <c r="AC30" i="5"/>
  <c r="AE30" i="5"/>
  <c r="AG30" i="5"/>
  <c r="F30" i="5"/>
  <c r="H30" i="5"/>
  <c r="J30" i="5"/>
  <c r="L30" i="5"/>
  <c r="N30" i="5"/>
  <c r="P30" i="5"/>
  <c r="R30" i="5"/>
  <c r="T30" i="5"/>
  <c r="V30" i="5"/>
  <c r="X30" i="5"/>
  <c r="Z30" i="5"/>
  <c r="AB30" i="5"/>
  <c r="AD30" i="5"/>
  <c r="AF30" i="5"/>
  <c r="D30" i="5"/>
  <c r="D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D20" i="6"/>
  <c r="D19" i="6"/>
  <c r="D18" i="6"/>
  <c r="D17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D11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D9" i="6"/>
  <c r="D8" i="6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D20" i="5"/>
  <c r="D19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E18" i="5"/>
  <c r="F18" i="5"/>
  <c r="G18" i="5"/>
  <c r="H18" i="5"/>
  <c r="I18" i="5"/>
  <c r="D18" i="5"/>
  <c r="D17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D11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D9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D8" i="5"/>
  <c r="E37" i="5" l="1"/>
  <c r="F37" i="5"/>
  <c r="G37" i="5"/>
  <c r="H37" i="5"/>
  <c r="I37" i="5"/>
  <c r="D37" i="5"/>
  <c r="E37" i="6"/>
  <c r="E46" i="6" s="1"/>
  <c r="F37" i="6"/>
  <c r="F46" i="6" s="1"/>
  <c r="G37" i="6"/>
  <c r="G46" i="6" s="1"/>
  <c r="H37" i="6"/>
  <c r="H46" i="6" s="1"/>
  <c r="I37" i="6"/>
  <c r="I46" i="6" s="1"/>
  <c r="J37" i="6"/>
  <c r="J46" i="6" s="1"/>
  <c r="K37" i="6"/>
  <c r="K46" i="6" s="1"/>
  <c r="L37" i="6"/>
  <c r="L46" i="6" s="1"/>
  <c r="M37" i="6"/>
  <c r="M46" i="6" s="1"/>
  <c r="N37" i="6"/>
  <c r="N46" i="6" s="1"/>
  <c r="O37" i="6"/>
  <c r="O46" i="6" s="1"/>
  <c r="P37" i="6"/>
  <c r="P46" i="6" s="1"/>
  <c r="Q37" i="6"/>
  <c r="Q46" i="6" s="1"/>
  <c r="R37" i="6"/>
  <c r="R46" i="6" s="1"/>
  <c r="S37" i="6"/>
  <c r="S46" i="6" s="1"/>
  <c r="T37" i="6"/>
  <c r="T46" i="6" s="1"/>
  <c r="U37" i="6"/>
  <c r="U46" i="6" s="1"/>
  <c r="V37" i="6"/>
  <c r="V46" i="6" s="1"/>
  <c r="W37" i="6"/>
  <c r="W46" i="6" s="1"/>
  <c r="X37" i="6"/>
  <c r="X46" i="6" s="1"/>
  <c r="Y37" i="6"/>
  <c r="Y46" i="6" s="1"/>
  <c r="Z37" i="6"/>
  <c r="Z46" i="6" s="1"/>
  <c r="AA37" i="6"/>
  <c r="AA46" i="6" s="1"/>
  <c r="AB37" i="6"/>
  <c r="AB46" i="6" s="1"/>
  <c r="AC37" i="6"/>
  <c r="AC46" i="6" s="1"/>
  <c r="AD37" i="6"/>
  <c r="AD46" i="6" s="1"/>
  <c r="AE37" i="6"/>
  <c r="AE46" i="6" s="1"/>
  <c r="AF37" i="6"/>
  <c r="AF46" i="6" s="1"/>
  <c r="AG37" i="6"/>
  <c r="AG46" i="6" s="1"/>
  <c r="D37" i="6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G37" i="5" l="1"/>
  <c r="AG46" i="5" s="1"/>
  <c r="AF37" i="5"/>
  <c r="AF46" i="5" s="1"/>
  <c r="AE37" i="5"/>
  <c r="AE46" i="5" s="1"/>
  <c r="AD37" i="5"/>
  <c r="AD46" i="5" s="1"/>
  <c r="AC37" i="5"/>
  <c r="AC46" i="5" s="1"/>
  <c r="AB37" i="5"/>
  <c r="AB46" i="5" s="1"/>
  <c r="AA37" i="5"/>
  <c r="AA46" i="5" s="1"/>
  <c r="Z37" i="5"/>
  <c r="Z46" i="5" s="1"/>
  <c r="Y37" i="5"/>
  <c r="Y46" i="5" s="1"/>
  <c r="X37" i="5"/>
  <c r="X46" i="5" s="1"/>
  <c r="W37" i="5"/>
  <c r="W46" i="5" s="1"/>
  <c r="V37" i="5"/>
  <c r="V46" i="5" s="1"/>
  <c r="U37" i="5"/>
  <c r="U46" i="5" s="1"/>
  <c r="T37" i="5"/>
  <c r="T46" i="5" s="1"/>
  <c r="S37" i="5"/>
  <c r="S46" i="5" s="1"/>
  <c r="R37" i="5"/>
  <c r="R46" i="5" s="1"/>
  <c r="Q37" i="5"/>
  <c r="Q46" i="5" s="1"/>
  <c r="P37" i="5"/>
  <c r="P46" i="5" s="1"/>
  <c r="O37" i="5"/>
  <c r="O46" i="5" s="1"/>
  <c r="N37" i="5"/>
  <c r="N46" i="5" s="1"/>
  <c r="M37" i="5"/>
  <c r="M46" i="5" s="1"/>
  <c r="L37" i="5"/>
  <c r="L46" i="5" s="1"/>
  <c r="K37" i="5"/>
  <c r="K46" i="5" s="1"/>
  <c r="J37" i="5"/>
  <c r="J46" i="5" s="1"/>
  <c r="D46" i="6"/>
  <c r="C48" i="6" s="1"/>
  <c r="H10" i="14" s="1"/>
  <c r="D46" i="5"/>
  <c r="E46" i="5"/>
  <c r="F46" i="5"/>
  <c r="G46" i="5"/>
  <c r="H46" i="5"/>
  <c r="I46" i="5"/>
  <c r="C49" i="6" l="1"/>
  <c r="I10" i="14"/>
  <c r="C48" i="5"/>
  <c r="H9" i="14" l="1"/>
  <c r="I9" i="14" s="1"/>
  <c r="C49" i="5"/>
</calcChain>
</file>

<file path=xl/sharedStrings.xml><?xml version="1.0" encoding="utf-8"?>
<sst xmlns="http://schemas.openxmlformats.org/spreadsheetml/2006/main" count="683" uniqueCount="207">
  <si>
    <t>Unit</t>
  </si>
  <si>
    <t>unit</t>
  </si>
  <si>
    <t>INPUTS</t>
  </si>
  <si>
    <t>Rp/kg</t>
  </si>
  <si>
    <t>Rp/unit</t>
  </si>
  <si>
    <t>Rupiah</t>
  </si>
  <si>
    <t>Social</t>
  </si>
  <si>
    <t>Tools</t>
  </si>
  <si>
    <t>Rp/liter</t>
  </si>
  <si>
    <t>Urea</t>
  </si>
  <si>
    <t>Upah buruh</t>
  </si>
  <si>
    <t>Nilai tukar rupiah</t>
  </si>
  <si>
    <t>Discount rate</t>
  </si>
  <si>
    <t>Privat</t>
  </si>
  <si>
    <t>Rp/US$</t>
  </si>
  <si>
    <t>%</t>
  </si>
  <si>
    <t>Sistem</t>
  </si>
  <si>
    <t>Lokasi</t>
  </si>
  <si>
    <t>Table Input/Output</t>
  </si>
  <si>
    <t>Rp/HOK</t>
  </si>
  <si>
    <t>Tabel Harga</t>
  </si>
  <si>
    <t>Farm budget Privat</t>
  </si>
  <si>
    <t xml:space="preserve">SP </t>
  </si>
  <si>
    <t xml:space="preserve">Profit  </t>
  </si>
  <si>
    <t>Total Biaya</t>
  </si>
  <si>
    <t>Total Penerimaan</t>
  </si>
  <si>
    <t>INPUT</t>
  </si>
  <si>
    <t>OUTPUT</t>
  </si>
  <si>
    <t>NPV</t>
  </si>
  <si>
    <t>Farm budget Sosial</t>
  </si>
  <si>
    <t>Pupuk</t>
  </si>
  <si>
    <t>Bahan Kimia</t>
  </si>
  <si>
    <t>Round Up</t>
  </si>
  <si>
    <t>Harga Privat</t>
  </si>
  <si>
    <t>Harga Sosial</t>
  </si>
  <si>
    <t>Bahan Tanam</t>
  </si>
  <si>
    <t>Peralatan</t>
  </si>
  <si>
    <t>Tenaga Kerja</t>
  </si>
  <si>
    <t>Cangkul</t>
  </si>
  <si>
    <t>Parang</t>
  </si>
  <si>
    <t>Persiapan lahan</t>
  </si>
  <si>
    <t>HOK</t>
  </si>
  <si>
    <t>thn ke-1</t>
  </si>
  <si>
    <t>thn ke-2</t>
  </si>
  <si>
    <t>thn ke-3</t>
  </si>
  <si>
    <t>thn ke-4</t>
  </si>
  <si>
    <t>thn ke-5</t>
  </si>
  <si>
    <t>thn ke-6</t>
  </si>
  <si>
    <t>thn ke-7</t>
  </si>
  <si>
    <t>thn ke-8</t>
  </si>
  <si>
    <t>thn ke-9</t>
  </si>
  <si>
    <t>thn ke-10</t>
  </si>
  <si>
    <t>thn ke-11</t>
  </si>
  <si>
    <t>thn ke-12</t>
  </si>
  <si>
    <t>thn ke-13</t>
  </si>
  <si>
    <t>thn ke-14</t>
  </si>
  <si>
    <t>thn ke-15</t>
  </si>
  <si>
    <t>thn ke-16</t>
  </si>
  <si>
    <t>thn ke-17</t>
  </si>
  <si>
    <t>thn ke-18</t>
  </si>
  <si>
    <t>thn ke-19</t>
  </si>
  <si>
    <t>thn ke-20</t>
  </si>
  <si>
    <t>thn ke-21</t>
  </si>
  <si>
    <t>thn ke-22</t>
  </si>
  <si>
    <t>thn ke-23</t>
  </si>
  <si>
    <t>thn ke-24</t>
  </si>
  <si>
    <t>thn ke-25</t>
  </si>
  <si>
    <t>thn ke-26</t>
  </si>
  <si>
    <t>thn ke-27</t>
  </si>
  <si>
    <t>thn ke-28</t>
  </si>
  <si>
    <t>thn ke-29</t>
  </si>
  <si>
    <t>thn ke-30</t>
  </si>
  <si>
    <t>batang</t>
  </si>
  <si>
    <t>Sosial</t>
  </si>
  <si>
    <t>Result</t>
  </si>
  <si>
    <t>Catatan</t>
  </si>
  <si>
    <t>Komponen I/O</t>
  </si>
  <si>
    <t>Location</t>
  </si>
  <si>
    <t>Respondent</t>
  </si>
  <si>
    <t>luas kebun</t>
  </si>
  <si>
    <t>ha</t>
  </si>
  <si>
    <t>Rp/btng</t>
  </si>
  <si>
    <t>Penyiangan</t>
  </si>
  <si>
    <t>Penyemprotan</t>
  </si>
  <si>
    <t>Pembuatan parit cacing</t>
  </si>
  <si>
    <t>Pemeliharaan parit cacing</t>
  </si>
  <si>
    <t xml:space="preserve">Traditional coconut monoculture </t>
  </si>
  <si>
    <t>Kelapa</t>
  </si>
  <si>
    <t>Sabit</t>
  </si>
  <si>
    <t>Ambung</t>
  </si>
  <si>
    <t>Kopra kering 75%</t>
  </si>
  <si>
    <t>Butir</t>
  </si>
  <si>
    <t>Sprayer</t>
  </si>
  <si>
    <t>Tangkus</t>
  </si>
  <si>
    <t>rahmat</t>
  </si>
  <si>
    <t>bentuk</t>
  </si>
  <si>
    <t>kelapa butir</t>
  </si>
  <si>
    <t>bakar</t>
  </si>
  <si>
    <t>tebas</t>
  </si>
  <si>
    <t>layout lahan</t>
  </si>
  <si>
    <t>1 ha</t>
  </si>
  <si>
    <t xml:space="preserve"> </t>
  </si>
  <si>
    <t>Jenis bibit yang digunakan: kelapa dalam</t>
  </si>
  <si>
    <t>Penyemprotan dilakukan sebelum masa produksi, setahun 2x @ 2 lt roundup, setengah hari, 1 orang</t>
  </si>
  <si>
    <t>Pemanenan</t>
  </si>
  <si>
    <t>Pemanenan dilakukan 4x setahun @ 2 orang slm 10 hari mendapatkan 4000 butir (1 HOK = 200 butir)</t>
  </si>
  <si>
    <t>Bambu</t>
  </si>
  <si>
    <t>Transport ke langkau</t>
  </si>
  <si>
    <t>Transport ke langkau= 1 hok per 4000 butir</t>
  </si>
  <si>
    <t xml:space="preserve">Penanaman </t>
  </si>
  <si>
    <t>Kelapa dalam</t>
  </si>
  <si>
    <t>Pendapatan</t>
  </si>
  <si>
    <t>kg</t>
  </si>
  <si>
    <t>dari 4000 butir dihasilkan 300 kw kopra 75%</t>
  </si>
  <si>
    <t>Kopra kering 75% : Rp 8,5 jt/ton</t>
  </si>
  <si>
    <t>Penanaman = 5 batang per hari</t>
  </si>
  <si>
    <t>spacing</t>
  </si>
  <si>
    <t>length</t>
  </si>
  <si>
    <t>wide</t>
  </si>
  <si>
    <t>m2</t>
  </si>
  <si>
    <t>no of tree</t>
  </si>
  <si>
    <t>Pembuatan parit = 15 m/hari, 1 orang. Ada 2 parit</t>
  </si>
  <si>
    <t>Informasi lain= tiap batang menghasilkan 10-30 butir tiap panen (atau 40-120 butir/tahun)</t>
  </si>
  <si>
    <t>liter</t>
  </si>
  <si>
    <t>Luas pengelolaan</t>
  </si>
  <si>
    <t>USD/ha</t>
  </si>
  <si>
    <t>total area</t>
  </si>
  <si>
    <t>hasil per tahun (butir)</t>
  </si>
  <si>
    <t>Return to Labor</t>
  </si>
  <si>
    <t>Rp/ha</t>
  </si>
  <si>
    <t>USD/HOK</t>
  </si>
  <si>
    <t>Tidak dipupuk</t>
  </si>
  <si>
    <t>Dikelola turun-temurun, biasanya umur 4 tahun sudah menghasilkan</t>
  </si>
  <si>
    <t>Periode perhitungan 30 tahun</t>
  </si>
  <si>
    <t>Kelapa monokultur, traditional management, with cannal</t>
  </si>
  <si>
    <t>Set Up</t>
  </si>
  <si>
    <t>jml ph</t>
  </si>
  <si>
    <t>Parit</t>
  </si>
  <si>
    <t>Teluk Payau</t>
  </si>
  <si>
    <t>Ali</t>
  </si>
  <si>
    <t>Rp/buah</t>
  </si>
  <si>
    <t>Gorontalo Farmer Scenario harvesting periode every 3-4 month</t>
  </si>
  <si>
    <t>Tahun mulai produksi = 6 th</t>
  </si>
  <si>
    <t>Seedlings: spacing 9 x 9 m2 = 125 trees/ha</t>
  </si>
  <si>
    <t>Harvesting year 7-10 = 4 piece/tree/harvest</t>
  </si>
  <si>
    <t>Harvesting year &gt;10 = 15 piece/tree/harvest</t>
  </si>
  <si>
    <t>Harvesting year &gt;15 = 20 piece/tree/harvest</t>
  </si>
  <si>
    <t>Harvesting year &gt;20 = 15 piece/tree/harvest</t>
  </si>
  <si>
    <t>7-8 year prod</t>
  </si>
  <si>
    <t>&gt; 8year prod</t>
  </si>
  <si>
    <t>&gt; 10 year prod</t>
  </si>
  <si>
    <t>&gt; 20 year prod</t>
  </si>
  <si>
    <t>Jmlh ph kelapa</t>
  </si>
  <si>
    <t>9 x 9</t>
  </si>
  <si>
    <t>Farmer Scenario harvesting periode every 3-4 month</t>
  </si>
  <si>
    <t>Harvesting year &gt;20 = 10 piece/tree/harvest</t>
  </si>
  <si>
    <t>Perkembangan rata-rata harga produsen kelapa belum dikupas</t>
  </si>
  <si>
    <t>menurut provinsi, 2008 – 2012</t>
  </si>
  <si>
    <t>STATISTIK HARGA KOMODITAS PERTANIAN 2013</t>
  </si>
  <si>
    <t>Tahun</t>
  </si>
  <si>
    <t>Harga</t>
  </si>
  <si>
    <t>Rata-rata</t>
  </si>
  <si>
    <t xml:space="preserve">Statistik Harga Komoditas </t>
  </si>
  <si>
    <t>http://pip.kementan.org/#</t>
  </si>
  <si>
    <t>Bulan</t>
  </si>
  <si>
    <t>Bibit yang digunakan: alam/cabutan, membeli</t>
  </si>
  <si>
    <t>Private</t>
  </si>
  <si>
    <t>Tungkal 1, Kuala tungkal, Tanjabar</t>
  </si>
  <si>
    <t>Kg</t>
  </si>
  <si>
    <t>Grup</t>
  </si>
  <si>
    <t>Var1</t>
  </si>
  <si>
    <t>Var2</t>
  </si>
  <si>
    <t>Private Price</t>
  </si>
  <si>
    <t>Social Price</t>
  </si>
  <si>
    <t>Input</t>
  </si>
  <si>
    <t xml:space="preserve">Output </t>
  </si>
  <si>
    <t>Utama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</si>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</sst>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_);_(* \(#,##0\);_(* &quot;-&quot;??_);_(@_)"/>
    <numFmt numFmtId="166" formatCode="#,##0.0"/>
    <numFmt numFmtId="167" formatCode="_(* #,##0.0_);_(* \(#,##0.0\);_(* &quot;-&quot;??_);_(@_)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i/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45">
    <xf numFmtId="0" fontId="0" fillId="0" borderId="0" xfId="0"/>
    <xf numFmtId="0" fontId="5" fillId="0" borderId="0" xfId="2" applyFont="1" applyFill="1"/>
    <xf numFmtId="0" fontId="6" fillId="0" borderId="0" xfId="2" applyFont="1" applyFill="1"/>
    <xf numFmtId="0" fontId="5" fillId="0" borderId="0" xfId="0" applyFont="1"/>
    <xf numFmtId="0" fontId="5" fillId="0" borderId="0" xfId="0" applyFont="1" applyAlignment="1">
      <alignment horizontal="center"/>
    </xf>
    <xf numFmtId="38" fontId="5" fillId="0" borderId="0" xfId="0" applyNumberFormat="1" applyFont="1"/>
    <xf numFmtId="0" fontId="5" fillId="0" borderId="0" xfId="0" applyFont="1" applyAlignment="1" applyProtection="1">
      <alignment horizontal="center"/>
    </xf>
    <xf numFmtId="1" fontId="5" fillId="0" borderId="0" xfId="0" applyNumberFormat="1" applyFont="1"/>
    <xf numFmtId="3" fontId="5" fillId="0" borderId="0" xfId="0" applyNumberFormat="1" applyFont="1"/>
    <xf numFmtId="3" fontId="5" fillId="0" borderId="1" xfId="0" applyNumberFormat="1" applyFont="1" applyBorder="1" applyAlignment="1">
      <alignment horizontal="right"/>
    </xf>
    <xf numFmtId="38" fontId="5" fillId="0" borderId="1" xfId="0" applyNumberFormat="1" applyFont="1" applyBorder="1" applyAlignment="1" applyProtection="1">
      <alignment horizontal="right"/>
    </xf>
    <xf numFmtId="38" fontId="5" fillId="0" borderId="1" xfId="0" applyNumberFormat="1" applyFont="1" applyFill="1" applyBorder="1" applyAlignment="1" applyProtection="1">
      <alignment horizontal="right"/>
    </xf>
    <xf numFmtId="38" fontId="5" fillId="0" borderId="1" xfId="0" applyNumberFormat="1" applyFont="1" applyBorder="1" applyAlignment="1">
      <alignment horizontal="right"/>
    </xf>
    <xf numFmtId="38" fontId="5" fillId="0" borderId="1" xfId="0" applyNumberFormat="1" applyFont="1" applyFill="1" applyBorder="1" applyAlignment="1">
      <alignment horizontal="right"/>
    </xf>
    <xf numFmtId="38" fontId="6" fillId="0" borderId="1" xfId="0" applyNumberFormat="1" applyFont="1" applyBorder="1" applyAlignment="1">
      <alignment horizontal="right"/>
    </xf>
    <xf numFmtId="38" fontId="6" fillId="0" borderId="0" xfId="0" applyNumberFormat="1" applyFont="1"/>
    <xf numFmtId="0" fontId="6" fillId="0" borderId="1" xfId="0" applyFont="1" applyBorder="1" applyAlignment="1" applyProtection="1">
      <alignment horizontal="left"/>
    </xf>
    <xf numFmtId="0" fontId="6" fillId="0" borderId="1" xfId="0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center"/>
    </xf>
    <xf numFmtId="3" fontId="5" fillId="0" borderId="1" xfId="0" applyNumberFormat="1" applyFont="1" applyBorder="1"/>
    <xf numFmtId="0" fontId="5" fillId="0" borderId="0" xfId="0" applyFont="1" applyAlignment="1">
      <alignment vertical="center"/>
    </xf>
    <xf numFmtId="0" fontId="5" fillId="0" borderId="1" xfId="0" applyFont="1" applyBorder="1" applyAlignment="1" applyProtection="1">
      <alignment horizontal="left" vertical="center"/>
    </xf>
    <xf numFmtId="0" fontId="5" fillId="0" borderId="1" xfId="0" applyFont="1" applyBorder="1" applyAlignment="1" applyProtection="1">
      <alignment horizontal="center" vertical="center"/>
    </xf>
    <xf numFmtId="38" fontId="6" fillId="0" borderId="1" xfId="0" applyNumberFormat="1" applyFont="1" applyBorder="1" applyAlignment="1" applyProtection="1">
      <alignment horizontal="right" vertical="center"/>
    </xf>
    <xf numFmtId="38" fontId="6" fillId="0" borderId="0" xfId="0" applyNumberFormat="1" applyFont="1" applyAlignment="1">
      <alignment vertical="center"/>
    </xf>
    <xf numFmtId="3" fontId="6" fillId="0" borderId="0" xfId="0" applyNumberFormat="1" applyFont="1" applyAlignment="1">
      <alignment vertical="center"/>
    </xf>
    <xf numFmtId="3" fontId="5" fillId="0" borderId="0" xfId="0" applyNumberFormat="1" applyFont="1" applyAlignment="1">
      <alignment vertical="center"/>
    </xf>
    <xf numFmtId="3" fontId="5" fillId="0" borderId="1" xfId="0" applyNumberFormat="1" applyFont="1" applyFill="1" applyBorder="1" applyAlignment="1">
      <alignment horizontal="right"/>
    </xf>
    <xf numFmtId="0" fontId="5" fillId="0" borderId="1" xfId="0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9" fillId="2" borderId="1" xfId="0" applyFont="1" applyFill="1" applyBorder="1"/>
    <xf numFmtId="0" fontId="9" fillId="2" borderId="1" xfId="0" applyFont="1" applyFill="1" applyBorder="1" applyAlignment="1">
      <alignment horizontal="center"/>
    </xf>
    <xf numFmtId="3" fontId="9" fillId="2" borderId="1" xfId="0" applyNumberFormat="1" applyFont="1" applyFill="1" applyBorder="1"/>
    <xf numFmtId="0" fontId="8" fillId="2" borderId="1" xfId="0" applyFont="1" applyFill="1" applyBorder="1"/>
    <xf numFmtId="0" fontId="5" fillId="0" borderId="1" xfId="0" applyFont="1" applyBorder="1" applyAlignment="1" applyProtection="1">
      <alignment horizontal="left" indent="1"/>
    </xf>
    <xf numFmtId="3" fontId="10" fillId="0" borderId="0" xfId="0" applyNumberFormat="1" applyFont="1"/>
    <xf numFmtId="0" fontId="10" fillId="0" borderId="0" xfId="0" applyFont="1"/>
    <xf numFmtId="1" fontId="10" fillId="0" borderId="0" xfId="0" applyNumberFormat="1" applyFont="1"/>
    <xf numFmtId="3" fontId="5" fillId="0" borderId="0" xfId="0" applyNumberFormat="1" applyFont="1" applyFill="1" applyAlignment="1">
      <alignment horizontal="center"/>
    </xf>
    <xf numFmtId="3" fontId="5" fillId="0" borderId="0" xfId="0" applyNumberFormat="1" applyFont="1" applyFill="1" applyAlignment="1" applyProtection="1">
      <alignment horizontal="center"/>
    </xf>
    <xf numFmtId="3" fontId="5" fillId="0" borderId="1" xfId="0" applyNumberFormat="1" applyFont="1" applyBorder="1" applyAlignment="1">
      <alignment horizontal="center"/>
    </xf>
    <xf numFmtId="3" fontId="5" fillId="0" borderId="1" xfId="0" applyNumberFormat="1" applyFont="1" applyFill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3" fontId="10" fillId="0" borderId="1" xfId="0" applyNumberFormat="1" applyFont="1" applyFill="1" applyBorder="1" applyAlignment="1">
      <alignment horizontal="center"/>
    </xf>
    <xf numFmtId="3" fontId="5" fillId="0" borderId="1" xfId="0" applyNumberFormat="1" applyFont="1" applyBorder="1" applyAlignment="1" applyProtection="1">
      <alignment horizontal="center"/>
    </xf>
    <xf numFmtId="3" fontId="5" fillId="0" borderId="1" xfId="0" applyNumberFormat="1" applyFont="1" applyFill="1" applyBorder="1" applyAlignment="1" applyProtection="1">
      <alignment horizontal="center"/>
    </xf>
    <xf numFmtId="166" fontId="5" fillId="0" borderId="1" xfId="0" applyNumberFormat="1" applyFont="1" applyFill="1" applyBorder="1" applyAlignment="1" applyProtection="1">
      <alignment horizontal="center"/>
    </xf>
    <xf numFmtId="166" fontId="5" fillId="0" borderId="1" xfId="0" applyNumberFormat="1" applyFont="1" applyBorder="1" applyAlignment="1" applyProtection="1">
      <alignment horizontal="center"/>
    </xf>
    <xf numFmtId="3" fontId="10" fillId="0" borderId="1" xfId="0" applyNumberFormat="1" applyFont="1" applyBorder="1" applyAlignment="1" applyProtection="1">
      <alignment horizontal="center"/>
    </xf>
    <xf numFmtId="3" fontId="10" fillId="0" borderId="1" xfId="0" applyNumberFormat="1" applyFont="1" applyFill="1" applyBorder="1" applyAlignment="1" applyProtection="1">
      <alignment horizontal="center"/>
    </xf>
    <xf numFmtId="0" fontId="5" fillId="0" borderId="0" xfId="0" applyFont="1" applyFill="1" applyAlignment="1">
      <alignment horizontal="center"/>
    </xf>
    <xf numFmtId="0" fontId="9" fillId="2" borderId="1" xfId="0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</xf>
    <xf numFmtId="3" fontId="8" fillId="2" borderId="1" xfId="0" applyNumberFormat="1" applyFont="1" applyFill="1" applyBorder="1" applyAlignment="1">
      <alignment horizontal="center" vertical="center" wrapText="1"/>
    </xf>
    <xf numFmtId="3" fontId="9" fillId="2" borderId="1" xfId="0" applyNumberFormat="1" applyFont="1" applyFill="1" applyBorder="1" applyAlignment="1">
      <alignment horizontal="center"/>
    </xf>
    <xf numFmtId="165" fontId="5" fillId="0" borderId="0" xfId="5" applyNumberFormat="1" applyFont="1" applyAlignment="1">
      <alignment horizontal="center"/>
    </xf>
    <xf numFmtId="0" fontId="12" fillId="0" borderId="1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5" fillId="0" borderId="0" xfId="2" applyFont="1" applyFill="1" applyAlignment="1">
      <alignment horizontal="center"/>
    </xf>
    <xf numFmtId="0" fontId="3" fillId="0" borderId="0" xfId="0" applyFont="1"/>
    <xf numFmtId="0" fontId="0" fillId="3" borderId="0" xfId="0" applyFill="1" applyBorder="1"/>
    <xf numFmtId="0" fontId="3" fillId="3" borderId="0" xfId="0" applyFont="1" applyFill="1" applyBorder="1"/>
    <xf numFmtId="0" fontId="7" fillId="4" borderId="0" xfId="2" applyFont="1" applyFill="1"/>
    <xf numFmtId="0" fontId="5" fillId="4" borderId="0" xfId="2" applyFont="1" applyFill="1"/>
    <xf numFmtId="165" fontId="5" fillId="4" borderId="0" xfId="3" applyNumberFormat="1" applyFont="1" applyFill="1" applyAlignment="1">
      <alignment horizontal="center"/>
    </xf>
    <xf numFmtId="0" fontId="5" fillId="4" borderId="0" xfId="2" applyFont="1" applyFill="1" applyAlignment="1">
      <alignment horizontal="center"/>
    </xf>
    <xf numFmtId="0" fontId="6" fillId="4" borderId="0" xfId="2" applyFont="1" applyFill="1"/>
    <xf numFmtId="0" fontId="5" fillId="4" borderId="0" xfId="2" applyFont="1" applyFill="1" applyAlignment="1">
      <alignment horizontal="left" indent="1"/>
    </xf>
    <xf numFmtId="9" fontId="5" fillId="4" borderId="0" xfId="1" applyFont="1" applyFill="1"/>
    <xf numFmtId="3" fontId="5" fillId="4" borderId="0" xfId="2" applyNumberFormat="1" applyFont="1" applyFill="1"/>
    <xf numFmtId="0" fontId="0" fillId="5" borderId="0" xfId="0" applyFill="1"/>
    <xf numFmtId="0" fontId="7" fillId="4" borderId="0" xfId="0" applyFont="1" applyFill="1" applyAlignment="1" applyProtection="1">
      <alignment horizontal="left"/>
    </xf>
    <xf numFmtId="0" fontId="5" fillId="4" borderId="0" xfId="0" applyFont="1" applyFill="1" applyAlignment="1" applyProtection="1">
      <alignment horizontal="center"/>
    </xf>
    <xf numFmtId="3" fontId="5" fillId="4" borderId="0" xfId="0" applyNumberFormat="1" applyFont="1" applyFill="1"/>
    <xf numFmtId="0" fontId="5" fillId="4" borderId="0" xfId="0" applyFont="1" applyFill="1"/>
    <xf numFmtId="0" fontId="5" fillId="4" borderId="0" xfId="0" applyFont="1" applyFill="1" applyAlignment="1">
      <alignment horizontal="center"/>
    </xf>
    <xf numFmtId="3" fontId="5" fillId="4" borderId="0" xfId="0" applyNumberFormat="1" applyFont="1" applyFill="1" applyAlignment="1" applyProtection="1">
      <alignment horizontal="right"/>
    </xf>
    <xf numFmtId="3" fontId="5" fillId="4" borderId="0" xfId="0" applyNumberFormat="1" applyFont="1" applyFill="1" applyAlignment="1">
      <alignment horizontal="center"/>
    </xf>
    <xf numFmtId="0" fontId="5" fillId="4" borderId="0" xfId="0" applyFont="1" applyFill="1" applyAlignment="1" applyProtection="1">
      <alignment horizontal="left"/>
    </xf>
    <xf numFmtId="3" fontId="5" fillId="4" borderId="0" xfId="0" applyNumberFormat="1" applyFont="1" applyFill="1" applyAlignment="1" applyProtection="1">
      <alignment horizontal="center"/>
    </xf>
    <xf numFmtId="3" fontId="10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3" fillId="0" borderId="0" xfId="0" applyFont="1" applyAlignment="1">
      <alignment horizontal="left" indent="1"/>
    </xf>
    <xf numFmtId="164" fontId="0" fillId="0" borderId="0" xfId="5" applyFont="1"/>
    <xf numFmtId="0" fontId="5" fillId="0" borderId="1" xfId="0" applyFont="1" applyFill="1" applyBorder="1" applyAlignment="1" applyProtection="1">
      <alignment horizontal="left" indent="1"/>
    </xf>
    <xf numFmtId="0" fontId="5" fillId="0" borderId="0" xfId="0" applyFont="1" applyFill="1"/>
    <xf numFmtId="3" fontId="5" fillId="0" borderId="0" xfId="0" applyNumberFormat="1" applyFont="1" applyFill="1"/>
    <xf numFmtId="0" fontId="11" fillId="0" borderId="0" xfId="0" applyFont="1" applyFill="1"/>
    <xf numFmtId="3" fontId="1" fillId="0" borderId="1" xfId="0" applyNumberFormat="1" applyFont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left" indent="2"/>
    </xf>
    <xf numFmtId="2" fontId="0" fillId="0" borderId="0" xfId="0" applyNumberFormat="1"/>
    <xf numFmtId="165" fontId="0" fillId="0" borderId="0" xfId="5" applyNumberFormat="1" applyFont="1"/>
    <xf numFmtId="0" fontId="0" fillId="0" borderId="0" xfId="0" quotePrefix="1"/>
    <xf numFmtId="0" fontId="5" fillId="3" borderId="0" xfId="0" applyFont="1" applyFill="1"/>
    <xf numFmtId="3" fontId="6" fillId="0" borderId="0" xfId="0" applyNumberFormat="1" applyFont="1"/>
    <xf numFmtId="0" fontId="6" fillId="0" borderId="0" xfId="0" applyFont="1"/>
    <xf numFmtId="166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3" fillId="3" borderId="9" xfId="0" applyFont="1" applyFill="1" applyBorder="1"/>
    <xf numFmtId="0" fontId="0" fillId="3" borderId="10" xfId="0" applyFill="1" applyBorder="1"/>
    <xf numFmtId="0" fontId="0" fillId="3" borderId="9" xfId="0" applyFill="1" applyBorder="1"/>
    <xf numFmtId="0" fontId="3" fillId="3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3" fillId="3" borderId="13" xfId="0" applyFont="1" applyFill="1" applyBorder="1"/>
    <xf numFmtId="0" fontId="3" fillId="6" borderId="6" xfId="0" applyFont="1" applyFill="1" applyBorder="1"/>
    <xf numFmtId="0" fontId="0" fillId="6" borderId="7" xfId="0" applyFill="1" applyBorder="1"/>
    <xf numFmtId="0" fontId="3" fillId="6" borderId="7" xfId="0" applyFont="1" applyFill="1" applyBorder="1"/>
    <xf numFmtId="0" fontId="0" fillId="6" borderId="8" xfId="0" applyFill="1" applyBorder="1"/>
    <xf numFmtId="0" fontId="5" fillId="4" borderId="14" xfId="2" applyFont="1" applyFill="1" applyBorder="1"/>
    <xf numFmtId="0" fontId="5" fillId="4" borderId="15" xfId="2" applyFont="1" applyFill="1" applyBorder="1"/>
    <xf numFmtId="0" fontId="5" fillId="4" borderId="16" xfId="2" applyFont="1" applyFill="1" applyBorder="1"/>
    <xf numFmtId="0" fontId="5" fillId="4" borderId="17" xfId="2" applyFont="1" applyFill="1" applyBorder="1"/>
    <xf numFmtId="0" fontId="5" fillId="4" borderId="0" xfId="2" applyFont="1" applyFill="1" applyBorder="1"/>
    <xf numFmtId="0" fontId="5" fillId="4" borderId="18" xfId="2" applyFont="1" applyFill="1" applyBorder="1"/>
    <xf numFmtId="0" fontId="5" fillId="4" borderId="19" xfId="2" applyFont="1" applyFill="1" applyBorder="1"/>
    <xf numFmtId="167" fontId="5" fillId="4" borderId="4" xfId="2" applyNumberFormat="1" applyFont="1" applyFill="1" applyBorder="1"/>
    <xf numFmtId="0" fontId="5" fillId="4" borderId="4" xfId="2" applyFont="1" applyFill="1" applyBorder="1"/>
    <xf numFmtId="0" fontId="5" fillId="4" borderId="20" xfId="2" applyFont="1" applyFill="1" applyBorder="1"/>
    <xf numFmtId="0" fontId="2" fillId="0" borderId="0" xfId="0" applyFont="1"/>
    <xf numFmtId="0" fontId="14" fillId="0" borderId="0" xfId="0" applyFont="1"/>
    <xf numFmtId="165" fontId="14" fillId="0" borderId="0" xfId="0" applyNumberFormat="1" applyFont="1"/>
    <xf numFmtId="0" fontId="2" fillId="0" borderId="0" xfId="0" applyFont="1" applyAlignment="1">
      <alignment horizontal="left"/>
    </xf>
    <xf numFmtId="165" fontId="0" fillId="0" borderId="0" xfId="0" applyNumberFormat="1"/>
    <xf numFmtId="0" fontId="6" fillId="0" borderId="0" xfId="0" applyFont="1" applyAlignment="1">
      <alignment horizontal="center"/>
    </xf>
    <xf numFmtId="17" fontId="5" fillId="0" borderId="0" xfId="0" applyNumberFormat="1" applyFont="1"/>
    <xf numFmtId="0" fontId="13" fillId="8" borderId="1" xfId="2" applyFont="1" applyFill="1" applyBorder="1" applyAlignment="1">
      <alignment horizontal="center"/>
    </xf>
    <xf numFmtId="0" fontId="5" fillId="7" borderId="1" xfId="2" applyFont="1" applyFill="1" applyBorder="1" applyAlignment="1">
      <alignment horizontal="left" indent="1"/>
    </xf>
    <xf numFmtId="38" fontId="5" fillId="7" borderId="1" xfId="2" applyNumberFormat="1" applyFont="1" applyFill="1" applyBorder="1" applyAlignment="1">
      <alignment horizontal="center"/>
    </xf>
    <xf numFmtId="165" fontId="6" fillId="7" borderId="1" xfId="5" applyNumberFormat="1" applyFont="1" applyFill="1" applyBorder="1" applyAlignment="1">
      <alignment horizontal="center"/>
    </xf>
    <xf numFmtId="165" fontId="5" fillId="7" borderId="1" xfId="5" applyNumberFormat="1" applyFont="1" applyFill="1" applyBorder="1"/>
    <xf numFmtId="165" fontId="6" fillId="7" borderId="1" xfId="5" applyNumberFormat="1" applyFont="1" applyFill="1" applyBorder="1"/>
    <xf numFmtId="165" fontId="6" fillId="8" borderId="1" xfId="3" applyNumberFormat="1" applyFont="1" applyFill="1" applyBorder="1" applyAlignment="1">
      <alignment horizontal="center"/>
    </xf>
    <xf numFmtId="0" fontId="6" fillId="8" borderId="1" xfId="2" applyFont="1" applyFill="1" applyBorder="1" applyAlignment="1">
      <alignment horizontal="center"/>
    </xf>
    <xf numFmtId="0" fontId="5" fillId="8" borderId="1" xfId="2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 applyProtection="1">
      <alignment horizontal="center" vertical="center"/>
    </xf>
    <xf numFmtId="0" fontId="7" fillId="4" borderId="2" xfId="0" applyFont="1" applyFill="1" applyBorder="1" applyAlignment="1" applyProtection="1">
      <alignment horizontal="center" vertical="center"/>
    </xf>
    <xf numFmtId="3" fontId="5" fillId="4" borderId="1" xfId="0" applyNumberFormat="1" applyFont="1" applyFill="1" applyBorder="1" applyAlignment="1" applyProtection="1">
      <alignment horizontal="center" vertical="center" wrapText="1"/>
    </xf>
    <xf numFmtId="0" fontId="7" fillId="4" borderId="5" xfId="0" applyFont="1" applyFill="1" applyBorder="1" applyAlignment="1" applyProtection="1">
      <alignment horizontal="center" vertical="center"/>
    </xf>
    <xf numFmtId="0" fontId="2" fillId="3" borderId="0" xfId="0" applyFont="1" applyFill="1"/>
  </cellXfs>
  <cellStyles count="6">
    <cellStyle name="Comma" xfId="5" builtinId="3"/>
    <cellStyle name="Comma 2" xfId="3"/>
    <cellStyle name="Normal" xfId="0" builtinId="0"/>
    <cellStyle name="Normal 2" xfId="2"/>
    <cellStyle name="Percent" xfId="1" builtinId="5"/>
    <cellStyle name="Percent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94133440515379"/>
          <c:y val="2.5483436845552088E-2"/>
          <c:w val="0.87531461025244761"/>
          <c:h val="0.8490246038095190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FieldData!$C$7:$AF$7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90-4402-B7CC-3F12E6C0EE18}"/>
            </c:ext>
          </c:extLst>
        </c:ser>
        <c:ser>
          <c:idx val="1"/>
          <c:order val="1"/>
          <c:marker>
            <c:symbol val="none"/>
          </c:marker>
          <c:val>
            <c:numRef>
              <c:f>FieldData!$C$8:$AF$8</c:f>
              <c:numCache>
                <c:formatCode>General</c:formatCode>
                <c:ptCount val="30"/>
                <c:pt idx="5" formatCode="_(* #,##0_);_(* \(#,##0\);_(* &quot;-&quot;??_);_(@_)">
                  <c:v>3500</c:v>
                </c:pt>
                <c:pt idx="6" formatCode="_(* #,##0_);_(* \(#,##0\);_(* &quot;-&quot;??_);_(@_)">
                  <c:v>3500</c:v>
                </c:pt>
                <c:pt idx="7" formatCode="_(* #,##0_);_(* \(#,##0\);_(* &quot;-&quot;??_);_(@_)">
                  <c:v>3500</c:v>
                </c:pt>
                <c:pt idx="8" formatCode="_(* #,##0_);_(* \(#,##0\);_(* &quot;-&quot;??_);_(@_)">
                  <c:v>7500</c:v>
                </c:pt>
                <c:pt idx="9" formatCode="_(* #,##0_);_(* \(#,##0\);_(* &quot;-&quot;??_);_(@_)">
                  <c:v>7500</c:v>
                </c:pt>
                <c:pt idx="10" formatCode="_(* #,##0_);_(* \(#,##0\);_(* &quot;-&quot;??_);_(@_)">
                  <c:v>10000</c:v>
                </c:pt>
                <c:pt idx="11" formatCode="_(* #,##0_);_(* \(#,##0\);_(* &quot;-&quot;??_);_(@_)">
                  <c:v>10000</c:v>
                </c:pt>
                <c:pt idx="12" formatCode="_(* #,##0_);_(* \(#,##0\);_(* &quot;-&quot;??_);_(@_)">
                  <c:v>10000</c:v>
                </c:pt>
                <c:pt idx="13" formatCode="_(* #,##0_);_(* \(#,##0\);_(* &quot;-&quot;??_);_(@_)">
                  <c:v>10000</c:v>
                </c:pt>
                <c:pt idx="14" formatCode="_(* #,##0_);_(* \(#,##0\);_(* &quot;-&quot;??_);_(@_)">
                  <c:v>10000</c:v>
                </c:pt>
                <c:pt idx="15" formatCode="_(* #,##0_);_(* \(#,##0\);_(* &quot;-&quot;??_);_(@_)">
                  <c:v>10000</c:v>
                </c:pt>
                <c:pt idx="16" formatCode="_(* #,##0_);_(* \(#,##0\);_(* &quot;-&quot;??_);_(@_)">
                  <c:v>10000</c:v>
                </c:pt>
                <c:pt idx="17" formatCode="_(* #,##0_);_(* \(#,##0\);_(* &quot;-&quot;??_);_(@_)">
                  <c:v>10000</c:v>
                </c:pt>
                <c:pt idx="18" formatCode="_(* #,##0_);_(* \(#,##0\);_(* &quot;-&quot;??_);_(@_)">
                  <c:v>10000</c:v>
                </c:pt>
                <c:pt idx="19" formatCode="_(* #,##0_);_(* \(#,##0\);_(* &quot;-&quot;??_);_(@_)">
                  <c:v>10000</c:v>
                </c:pt>
                <c:pt idx="20" formatCode="_(* #,##0_);_(* \(#,##0\);_(* &quot;-&quot;??_);_(@_)">
                  <c:v>5000</c:v>
                </c:pt>
                <c:pt idx="21" formatCode="_(* #,##0_);_(* \(#,##0\);_(* &quot;-&quot;??_);_(@_)">
                  <c:v>5000</c:v>
                </c:pt>
                <c:pt idx="22" formatCode="_(* #,##0_);_(* \(#,##0\);_(* &quot;-&quot;??_);_(@_)">
                  <c:v>5000</c:v>
                </c:pt>
                <c:pt idx="23" formatCode="_(* #,##0_);_(* \(#,##0\);_(* &quot;-&quot;??_);_(@_)">
                  <c:v>5000</c:v>
                </c:pt>
                <c:pt idx="24" formatCode="_(* #,##0_);_(* \(#,##0\);_(* &quot;-&quot;??_);_(@_)">
                  <c:v>5000</c:v>
                </c:pt>
                <c:pt idx="25" formatCode="_(* #,##0_);_(* \(#,##0\);_(* &quot;-&quot;??_);_(@_)">
                  <c:v>5000</c:v>
                </c:pt>
                <c:pt idx="26" formatCode="_(* #,##0_);_(* \(#,##0\);_(* &quot;-&quot;??_);_(@_)">
                  <c:v>5000</c:v>
                </c:pt>
                <c:pt idx="27" formatCode="_(* #,##0_);_(* \(#,##0\);_(* &quot;-&quot;??_);_(@_)">
                  <c:v>5000</c:v>
                </c:pt>
                <c:pt idx="28" formatCode="_(* #,##0_);_(* \(#,##0\);_(* &quot;-&quot;??_);_(@_)">
                  <c:v>5000</c:v>
                </c:pt>
                <c:pt idx="29" formatCode="_(* #,##0_);_(* \(#,##0\);_(* &quot;-&quot;??_);_(@_)">
                  <c:v>5000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90-4402-B7CC-3F12E6C0E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2052624"/>
        <c:axId val="252049904"/>
      </c:lineChart>
      <c:catAx>
        <c:axId val="252052624"/>
        <c:scaling>
          <c:orientation val="minMax"/>
        </c:scaling>
        <c:delete val="0"/>
        <c:axPos val="b"/>
        <c:majorTickMark val="out"/>
        <c:minorTickMark val="none"/>
        <c:tickLblPos val="nextTo"/>
        <c:crossAx val="252049904"/>
        <c:crosses val="autoZero"/>
        <c:auto val="1"/>
        <c:lblAlgn val="ctr"/>
        <c:lblOffset val="100"/>
        <c:noMultiLvlLbl val="0"/>
      </c:catAx>
      <c:valAx>
        <c:axId val="252049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2052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8</xdr:row>
          <xdr:rowOff>15240</xdr:rowOff>
        </xdr:from>
        <xdr:to>
          <xdr:col>13</xdr:col>
          <xdr:colOff>114300</xdr:colOff>
          <xdr:row>9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RTL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623048</xdr:colOff>
      <xdr:row>25</xdr:row>
      <xdr:rowOff>89648</xdr:rowOff>
    </xdr:from>
    <xdr:to>
      <xdr:col>11</xdr:col>
      <xdr:colOff>33619</xdr:colOff>
      <xdr:row>43</xdr:row>
      <xdr:rowOff>80685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0"/>
  <sheetViews>
    <sheetView workbookViewId="0">
      <pane ySplit="15" topLeftCell="A16" activePane="bottomLeft" state="frozen"/>
      <selection activeCell="B1" sqref="B1"/>
      <selection pane="bottomLeft" activeCell="H9" sqref="H9"/>
    </sheetView>
  </sheetViews>
  <sheetFormatPr defaultColWidth="9.109375" defaultRowHeight="14.4" x14ac:dyDescent="0.3"/>
  <cols>
    <col min="1" max="1" width="2.44140625" style="1" customWidth="1"/>
    <col min="2" max="2" width="17.5546875" style="1" customWidth="1"/>
    <col min="3" max="3" width="9.6640625" style="1" customWidth="1"/>
    <col min="4" max="4" width="8.33203125" style="1" customWidth="1"/>
    <col min="5" max="5" width="7" style="1" customWidth="1"/>
    <col min="6" max="6" width="3.88671875" style="1" customWidth="1"/>
    <col min="7" max="7" width="12.33203125" style="1" customWidth="1"/>
    <col min="8" max="8" width="14" style="60" customWidth="1"/>
    <col min="9" max="9" width="12.33203125" style="60" customWidth="1"/>
    <col min="10" max="11" width="12.33203125" style="1" customWidth="1"/>
    <col min="12" max="12" width="7.109375" style="1" customWidth="1"/>
    <col min="13" max="256" width="12.33203125" style="1" customWidth="1"/>
    <col min="257" max="16384" width="9.109375" style="1"/>
  </cols>
  <sheetData>
    <row r="1" spans="2:11" s="65" customFormat="1" ht="18" x14ac:dyDescent="0.35">
      <c r="B1" s="64" t="s">
        <v>86</v>
      </c>
    </row>
    <row r="2" spans="2:11" s="65" customFormat="1" x14ac:dyDescent="0.3">
      <c r="B2" s="111" t="s">
        <v>16</v>
      </c>
      <c r="C2" s="112" t="s">
        <v>134</v>
      </c>
      <c r="D2" s="112"/>
      <c r="E2" s="112"/>
      <c r="F2" s="112"/>
      <c r="G2" s="112"/>
      <c r="H2" s="113"/>
    </row>
    <row r="3" spans="2:11" s="65" customFormat="1" x14ac:dyDescent="0.3">
      <c r="B3" s="114" t="s">
        <v>17</v>
      </c>
      <c r="C3" s="115" t="s">
        <v>167</v>
      </c>
      <c r="D3" s="115"/>
      <c r="E3" s="115"/>
      <c r="F3" s="115"/>
      <c r="G3" s="115"/>
      <c r="H3" s="116"/>
    </row>
    <row r="4" spans="2:11" s="65" customFormat="1" x14ac:dyDescent="0.3">
      <c r="B4" s="117" t="s">
        <v>124</v>
      </c>
      <c r="C4" s="118">
        <v>1</v>
      </c>
      <c r="D4" s="119" t="s">
        <v>80</v>
      </c>
      <c r="E4" s="119"/>
      <c r="F4" s="119"/>
      <c r="G4" s="119"/>
      <c r="H4" s="120"/>
    </row>
    <row r="5" spans="2:11" s="65" customFormat="1" x14ac:dyDescent="0.3"/>
    <row r="6" spans="2:11" s="65" customFormat="1" x14ac:dyDescent="0.3">
      <c r="B6" s="68" t="s">
        <v>12</v>
      </c>
      <c r="G6" s="68" t="s">
        <v>74</v>
      </c>
      <c r="H6" s="66"/>
      <c r="I6" s="67"/>
    </row>
    <row r="7" spans="2:11" s="65" customFormat="1" x14ac:dyDescent="0.3">
      <c r="B7" s="69" t="s">
        <v>166</v>
      </c>
      <c r="C7" s="65" t="s">
        <v>15</v>
      </c>
      <c r="D7" s="70">
        <v>7.0999999999999994E-2</v>
      </c>
      <c r="G7" s="136"/>
      <c r="H7" s="134" t="s">
        <v>28</v>
      </c>
      <c r="I7" s="134"/>
      <c r="J7" s="135" t="s">
        <v>128</v>
      </c>
      <c r="K7" s="135"/>
    </row>
    <row r="8" spans="2:11" s="65" customFormat="1" x14ac:dyDescent="0.3">
      <c r="B8" s="69" t="s">
        <v>6</v>
      </c>
      <c r="C8" s="65" t="s">
        <v>15</v>
      </c>
      <c r="D8" s="70">
        <v>2.1000000000000001E-2</v>
      </c>
      <c r="G8" s="136"/>
      <c r="H8" s="128" t="s">
        <v>129</v>
      </c>
      <c r="I8" s="128" t="s">
        <v>125</v>
      </c>
      <c r="J8" s="128" t="s">
        <v>19</v>
      </c>
      <c r="K8" s="128" t="s">
        <v>130</v>
      </c>
    </row>
    <row r="9" spans="2:11" s="65" customFormat="1" x14ac:dyDescent="0.3">
      <c r="B9" s="68" t="s">
        <v>11</v>
      </c>
      <c r="C9" s="65" t="s">
        <v>14</v>
      </c>
      <c r="D9" s="71">
        <v>13700</v>
      </c>
      <c r="G9" s="129" t="s">
        <v>13</v>
      </c>
      <c r="H9" s="130">
        <f>'FarmBudget Privat'!C48/$C$4</f>
        <v>14150363.02994691</v>
      </c>
      <c r="I9" s="131">
        <f>H9/D9</f>
        <v>1032.8732138647379</v>
      </c>
      <c r="J9" s="71">
        <v>90752.08174227117</v>
      </c>
      <c r="K9" s="133">
        <f>J9/nilai_tukar</f>
        <v>6.6242395432314725</v>
      </c>
    </row>
    <row r="10" spans="2:11" s="65" customFormat="1" x14ac:dyDescent="0.3">
      <c r="B10" s="68" t="s">
        <v>10</v>
      </c>
      <c r="C10" s="65" t="s">
        <v>19</v>
      </c>
      <c r="G10" s="129" t="s">
        <v>73</v>
      </c>
      <c r="H10" s="130">
        <f>'FarmBudget Sosial'!C48/$C$4</f>
        <v>148917219.4890084</v>
      </c>
      <c r="I10" s="131">
        <f>H10/D9</f>
        <v>10869.870035694044</v>
      </c>
      <c r="J10" s="132">
        <v>113601</v>
      </c>
      <c r="K10" s="133">
        <f>J10/nilai_tukar</f>
        <v>8.2920437956204385</v>
      </c>
    </row>
    <row r="11" spans="2:11" s="65" customFormat="1" x14ac:dyDescent="0.3">
      <c r="B11" s="69" t="s">
        <v>166</v>
      </c>
      <c r="D11" s="71">
        <v>70000</v>
      </c>
      <c r="H11" s="67"/>
      <c r="I11" s="67"/>
    </row>
    <row r="12" spans="2:11" s="65" customFormat="1" x14ac:dyDescent="0.3">
      <c r="B12" s="69" t="s">
        <v>6</v>
      </c>
      <c r="D12" s="71">
        <v>70000</v>
      </c>
      <c r="H12" s="67"/>
      <c r="I12" s="67"/>
    </row>
    <row r="13" spans="2:11" s="65" customFormat="1" x14ac:dyDescent="0.3">
      <c r="H13" s="67"/>
      <c r="I13" s="67"/>
    </row>
    <row r="14" spans="2:11" s="65" customFormat="1" x14ac:dyDescent="0.3">
      <c r="H14" s="67"/>
      <c r="I14" s="67"/>
    </row>
    <row r="15" spans="2:11" s="65" customFormat="1" x14ac:dyDescent="0.3">
      <c r="H15" s="67"/>
      <c r="I15" s="67"/>
    </row>
    <row r="16" spans="2:11" x14ac:dyDescent="0.3">
      <c r="B16" s="2" t="s">
        <v>75</v>
      </c>
    </row>
    <row r="17" spans="1:2" x14ac:dyDescent="0.3">
      <c r="A17" s="1">
        <v>1</v>
      </c>
      <c r="B17" s="1" t="s">
        <v>131</v>
      </c>
    </row>
    <row r="18" spans="1:2" x14ac:dyDescent="0.3">
      <c r="A18" s="1">
        <v>2</v>
      </c>
      <c r="B18" s="1" t="s">
        <v>165</v>
      </c>
    </row>
    <row r="19" spans="1:2" x14ac:dyDescent="0.3">
      <c r="A19" s="1">
        <v>3</v>
      </c>
      <c r="B19" s="1" t="s">
        <v>132</v>
      </c>
    </row>
    <row r="20" spans="1:2" x14ac:dyDescent="0.3">
      <c r="A20" s="1">
        <v>4</v>
      </c>
      <c r="B20" s="1" t="s">
        <v>133</v>
      </c>
    </row>
  </sheetData>
  <mergeCells count="3">
    <mergeCell ref="H7:I7"/>
    <mergeCell ref="J7:K7"/>
    <mergeCell ref="G7:G8"/>
  </mergeCell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12</xdr:col>
                    <xdr:colOff>15240</xdr:colOff>
                    <xdr:row>8</xdr:row>
                    <xdr:rowOff>15240</xdr:rowOff>
                  </from>
                  <to>
                    <xdr:col>13</xdr:col>
                    <xdr:colOff>114300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4"/>
  <sheetViews>
    <sheetView topLeftCell="B1" zoomScale="85" zoomScaleNormal="85" workbookViewId="0">
      <pane xSplit="2" ySplit="5" topLeftCell="D6" activePane="bottomRight" state="frozen"/>
      <selection activeCell="B1" sqref="B1"/>
      <selection pane="topRight" activeCell="D1" sqref="D1"/>
      <selection pane="bottomLeft" activeCell="B6" sqref="B6"/>
      <selection pane="bottomRight" activeCell="C25" activeCellId="4" sqref="C7 C10 C13 C16 C25"/>
    </sheetView>
  </sheetViews>
  <sheetFormatPr defaultColWidth="9.109375" defaultRowHeight="14.4" x14ac:dyDescent="0.3"/>
  <cols>
    <col min="1" max="2" width="9.109375" style="3"/>
    <col min="3" max="3" width="28" style="3" bestFit="1" customWidth="1"/>
    <col min="4" max="4" width="14.5546875" style="4" customWidth="1"/>
    <col min="5" max="5" width="16.44140625" style="4" customWidth="1"/>
    <col min="6" max="6" width="16.6640625" style="4" customWidth="1"/>
    <col min="7" max="7" width="25" style="3" bestFit="1" customWidth="1"/>
    <col min="8" max="8" width="25.44140625" style="3" bestFit="1" customWidth="1"/>
    <col min="9" max="16384" width="9.109375" style="3"/>
  </cols>
  <sheetData>
    <row r="1" spans="3:6" s="76" customFormat="1" ht="18" x14ac:dyDescent="0.35">
      <c r="C1" s="73" t="s">
        <v>20</v>
      </c>
      <c r="D1" s="74"/>
      <c r="E1" s="77"/>
      <c r="F1" s="77"/>
    </row>
    <row r="2" spans="3:6" s="76" customFormat="1" x14ac:dyDescent="0.3">
      <c r="C2" s="76" t="str">
        <f>'Tabel Input-Output'!B2</f>
        <v xml:space="preserve">Traditional coconut monoculture </v>
      </c>
      <c r="D2" s="77"/>
      <c r="E2" s="77"/>
      <c r="F2" s="77"/>
    </row>
    <row r="3" spans="3:6" s="76" customFormat="1" ht="13.5" customHeight="1" x14ac:dyDescent="0.3">
      <c r="D3" s="77"/>
      <c r="E3" s="77"/>
      <c r="F3" s="77"/>
    </row>
    <row r="4" spans="3:6" s="76" customFormat="1" ht="13.5" customHeight="1" x14ac:dyDescent="0.3">
      <c r="C4" s="140" t="s">
        <v>76</v>
      </c>
      <c r="D4" s="138" t="s">
        <v>0</v>
      </c>
      <c r="E4" s="137" t="s">
        <v>33</v>
      </c>
      <c r="F4" s="137" t="s">
        <v>34</v>
      </c>
    </row>
    <row r="5" spans="3:6" s="76" customFormat="1" x14ac:dyDescent="0.3">
      <c r="C5" s="141"/>
      <c r="D5" s="139"/>
      <c r="E5" s="137"/>
      <c r="F5" s="137"/>
    </row>
    <row r="6" spans="3:6" x14ac:dyDescent="0.3">
      <c r="C6" s="53" t="s">
        <v>2</v>
      </c>
      <c r="D6" s="32"/>
      <c r="E6" s="54"/>
      <c r="F6" s="54"/>
    </row>
    <row r="7" spans="3:6" x14ac:dyDescent="0.3">
      <c r="C7" s="16" t="s">
        <v>30</v>
      </c>
      <c r="D7" s="19"/>
      <c r="E7" s="41"/>
      <c r="F7" s="41"/>
    </row>
    <row r="8" spans="3:6" x14ac:dyDescent="0.3">
      <c r="C8" s="35" t="s">
        <v>9</v>
      </c>
      <c r="D8" s="19" t="s">
        <v>3</v>
      </c>
      <c r="E8" s="41">
        <v>0</v>
      </c>
      <c r="F8" s="41">
        <v>0</v>
      </c>
    </row>
    <row r="9" spans="3:6" s="7" customFormat="1" x14ac:dyDescent="0.3">
      <c r="C9" s="35" t="s">
        <v>22</v>
      </c>
      <c r="D9" s="19" t="s">
        <v>3</v>
      </c>
      <c r="E9" s="41">
        <v>0</v>
      </c>
      <c r="F9" s="41">
        <v>0</v>
      </c>
    </row>
    <row r="10" spans="3:6" x14ac:dyDescent="0.3">
      <c r="C10" s="16" t="s">
        <v>31</v>
      </c>
      <c r="D10" s="19"/>
      <c r="E10" s="41"/>
      <c r="F10" s="41"/>
    </row>
    <row r="11" spans="3:6" x14ac:dyDescent="0.3">
      <c r="C11" s="35" t="s">
        <v>135</v>
      </c>
      <c r="D11" s="19" t="s">
        <v>8</v>
      </c>
      <c r="E11" s="41">
        <v>65000</v>
      </c>
      <c r="F11" s="41">
        <f>E11</f>
        <v>65000</v>
      </c>
    </row>
    <row r="12" spans="3:6" x14ac:dyDescent="0.3">
      <c r="C12" s="35"/>
      <c r="D12" s="19"/>
      <c r="E12" s="41"/>
      <c r="F12" s="41"/>
    </row>
    <row r="13" spans="3:6" x14ac:dyDescent="0.3">
      <c r="C13" s="16" t="s">
        <v>35</v>
      </c>
      <c r="D13" s="19"/>
      <c r="E13" s="41"/>
      <c r="F13" s="41"/>
    </row>
    <row r="14" spans="3:6" x14ac:dyDescent="0.3">
      <c r="C14" s="35" t="s">
        <v>110</v>
      </c>
      <c r="D14" s="19" t="s">
        <v>81</v>
      </c>
      <c r="E14" s="41">
        <v>3000</v>
      </c>
      <c r="F14" s="41">
        <f>E14</f>
        <v>3000</v>
      </c>
    </row>
    <row r="15" spans="3:6" x14ac:dyDescent="0.3">
      <c r="C15" s="35"/>
      <c r="D15" s="19"/>
      <c r="E15" s="41"/>
      <c r="F15" s="41"/>
    </row>
    <row r="16" spans="3:6" x14ac:dyDescent="0.3">
      <c r="C16" s="16" t="s">
        <v>36</v>
      </c>
      <c r="D16" s="19"/>
      <c r="E16" s="41"/>
      <c r="F16" s="41"/>
    </row>
    <row r="17" spans="3:6" x14ac:dyDescent="0.3">
      <c r="C17" s="35" t="s">
        <v>88</v>
      </c>
      <c r="D17" s="19" t="s">
        <v>4</v>
      </c>
      <c r="E17" s="41">
        <v>30000</v>
      </c>
      <c r="F17" s="41">
        <v>30000</v>
      </c>
    </row>
    <row r="18" spans="3:6" x14ac:dyDescent="0.3">
      <c r="C18" s="86" t="s">
        <v>89</v>
      </c>
      <c r="D18" s="19" t="s">
        <v>4</v>
      </c>
      <c r="E18" s="41">
        <v>4000</v>
      </c>
      <c r="F18" s="41">
        <v>4000</v>
      </c>
    </row>
    <row r="19" spans="3:6" x14ac:dyDescent="0.3">
      <c r="C19" s="86" t="s">
        <v>38</v>
      </c>
      <c r="D19" s="19" t="s">
        <v>4</v>
      </c>
      <c r="E19" s="41">
        <v>100000</v>
      </c>
      <c r="F19" s="41">
        <f>E19</f>
        <v>100000</v>
      </c>
    </row>
    <row r="20" spans="3:6" x14ac:dyDescent="0.3">
      <c r="C20" s="35" t="s">
        <v>39</v>
      </c>
      <c r="D20" s="19" t="s">
        <v>4</v>
      </c>
      <c r="E20" s="41">
        <v>75000</v>
      </c>
      <c r="F20" s="41">
        <f>E20</f>
        <v>75000</v>
      </c>
    </row>
    <row r="21" spans="3:6" x14ac:dyDescent="0.3">
      <c r="C21" s="86" t="s">
        <v>92</v>
      </c>
      <c r="D21" s="19" t="s">
        <v>4</v>
      </c>
      <c r="E21" s="41">
        <v>300000</v>
      </c>
      <c r="F21" s="41">
        <f>E21</f>
        <v>300000</v>
      </c>
    </row>
    <row r="22" spans="3:6" x14ac:dyDescent="0.3">
      <c r="C22" s="86" t="s">
        <v>93</v>
      </c>
      <c r="D22" s="19" t="s">
        <v>4</v>
      </c>
      <c r="E22" s="41">
        <v>20000</v>
      </c>
      <c r="F22" s="41">
        <v>20000</v>
      </c>
    </row>
    <row r="23" spans="3:6" x14ac:dyDescent="0.3">
      <c r="C23" s="86" t="s">
        <v>106</v>
      </c>
      <c r="D23" s="19" t="s">
        <v>4</v>
      </c>
      <c r="E23" s="41">
        <v>5000</v>
      </c>
      <c r="F23" s="41">
        <v>5000</v>
      </c>
    </row>
    <row r="24" spans="3:6" x14ac:dyDescent="0.3">
      <c r="C24" s="86"/>
      <c r="D24" s="19"/>
      <c r="E24" s="41"/>
      <c r="F24" s="41"/>
    </row>
    <row r="25" spans="3:6" x14ac:dyDescent="0.3">
      <c r="C25" s="16" t="s">
        <v>37</v>
      </c>
      <c r="D25" s="19"/>
      <c r="E25" s="41"/>
      <c r="F25" s="41"/>
    </row>
    <row r="26" spans="3:6" x14ac:dyDescent="0.3">
      <c r="C26" s="86" t="s">
        <v>40</v>
      </c>
      <c r="D26" s="19"/>
      <c r="E26" s="41"/>
      <c r="F26" s="41"/>
    </row>
    <row r="27" spans="3:6" x14ac:dyDescent="0.3">
      <c r="C27" s="91" t="s">
        <v>98</v>
      </c>
      <c r="D27" s="19" t="s">
        <v>19</v>
      </c>
      <c r="E27" s="41">
        <f>Summary!$D$11</f>
        <v>70000</v>
      </c>
      <c r="F27" s="41">
        <f>Summary!$D$12</f>
        <v>70000</v>
      </c>
    </row>
    <row r="28" spans="3:6" x14ac:dyDescent="0.3">
      <c r="C28" s="91" t="s">
        <v>97</v>
      </c>
      <c r="D28" s="19" t="s">
        <v>19</v>
      </c>
      <c r="E28" s="41">
        <f>Summary!$D$11</f>
        <v>70000</v>
      </c>
      <c r="F28" s="41">
        <f>Summary!$D$12</f>
        <v>70000</v>
      </c>
    </row>
    <row r="29" spans="3:6" x14ac:dyDescent="0.3">
      <c r="C29" s="86" t="s">
        <v>84</v>
      </c>
      <c r="D29" s="19" t="s">
        <v>19</v>
      </c>
      <c r="E29" s="41">
        <f>Summary!$D$11</f>
        <v>70000</v>
      </c>
      <c r="F29" s="41">
        <f>Summary!$D$12</f>
        <v>70000</v>
      </c>
    </row>
    <row r="30" spans="3:6" x14ac:dyDescent="0.3">
      <c r="C30" s="86" t="s">
        <v>85</v>
      </c>
      <c r="D30" s="19" t="s">
        <v>19</v>
      </c>
      <c r="E30" s="41">
        <f>Summary!$D$11</f>
        <v>70000</v>
      </c>
      <c r="F30" s="41">
        <f>Summary!$D$12</f>
        <v>70000</v>
      </c>
    </row>
    <row r="31" spans="3:6" x14ac:dyDescent="0.3">
      <c r="C31" s="86" t="s">
        <v>109</v>
      </c>
      <c r="D31" s="19" t="s">
        <v>19</v>
      </c>
      <c r="E31" s="41">
        <f>Summary!$D$11</f>
        <v>70000</v>
      </c>
      <c r="F31" s="41">
        <f>Summary!$D$12</f>
        <v>70000</v>
      </c>
    </row>
    <row r="32" spans="3:6" x14ac:dyDescent="0.3">
      <c r="C32" s="86" t="s">
        <v>82</v>
      </c>
      <c r="D32" s="19" t="s">
        <v>19</v>
      </c>
      <c r="E32" s="41">
        <f>Summary!$D$11</f>
        <v>70000</v>
      </c>
      <c r="F32" s="41">
        <f>Summary!$D$12</f>
        <v>70000</v>
      </c>
    </row>
    <row r="33" spans="3:6" x14ac:dyDescent="0.3">
      <c r="C33" s="86" t="s">
        <v>83</v>
      </c>
      <c r="D33" s="19" t="s">
        <v>19</v>
      </c>
      <c r="E33" s="41">
        <f>Summary!$D$11</f>
        <v>70000</v>
      </c>
      <c r="F33" s="41">
        <f>Summary!$D$12</f>
        <v>70000</v>
      </c>
    </row>
    <row r="34" spans="3:6" x14ac:dyDescent="0.3">
      <c r="C34" s="86" t="s">
        <v>104</v>
      </c>
      <c r="D34" s="19" t="s">
        <v>19</v>
      </c>
      <c r="E34" s="41">
        <f>Summary!$D$11</f>
        <v>70000</v>
      </c>
      <c r="F34" s="41">
        <f>Summary!$D$12</f>
        <v>70000</v>
      </c>
    </row>
    <row r="35" spans="3:6" x14ac:dyDescent="0.3">
      <c r="C35" s="86" t="s">
        <v>107</v>
      </c>
      <c r="D35" s="19" t="s">
        <v>19</v>
      </c>
      <c r="E35" s="41">
        <f>Summary!$D$11</f>
        <v>70000</v>
      </c>
      <c r="F35" s="41">
        <f>Summary!$D$12</f>
        <v>70000</v>
      </c>
    </row>
    <row r="36" spans="3:6" x14ac:dyDescent="0.3">
      <c r="C36" s="91"/>
      <c r="D36" s="19"/>
      <c r="E36" s="41"/>
      <c r="F36" s="41"/>
    </row>
    <row r="37" spans="3:6" x14ac:dyDescent="0.3">
      <c r="C37" s="91"/>
      <c r="D37" s="19"/>
      <c r="E37" s="41"/>
      <c r="F37" s="41"/>
    </row>
    <row r="38" spans="3:6" x14ac:dyDescent="0.3">
      <c r="C38" s="18"/>
      <c r="D38" s="19"/>
      <c r="E38" s="41"/>
      <c r="F38" s="41"/>
    </row>
    <row r="39" spans="3:6" x14ac:dyDescent="0.3">
      <c r="C39" s="53" t="s">
        <v>27</v>
      </c>
      <c r="D39" s="52"/>
      <c r="E39" s="55"/>
      <c r="F39" s="55"/>
    </row>
    <row r="40" spans="3:6" x14ac:dyDescent="0.3">
      <c r="C40" s="18" t="s">
        <v>87</v>
      </c>
      <c r="D40" s="19" t="s">
        <v>140</v>
      </c>
      <c r="E40" s="41">
        <v>1200</v>
      </c>
      <c r="F40" s="41">
        <f>E40</f>
        <v>1200</v>
      </c>
    </row>
    <row r="41" spans="3:6" x14ac:dyDescent="0.3">
      <c r="C41" s="18"/>
      <c r="D41" s="19"/>
      <c r="E41" s="41"/>
      <c r="F41" s="41"/>
    </row>
    <row r="42" spans="3:6" x14ac:dyDescent="0.3">
      <c r="C42" s="18" t="s">
        <v>111</v>
      </c>
      <c r="D42" s="19"/>
      <c r="E42" s="41"/>
      <c r="F42" s="41"/>
    </row>
    <row r="43" spans="3:6" x14ac:dyDescent="0.3">
      <c r="C43" s="35" t="s">
        <v>90</v>
      </c>
      <c r="D43" s="19" t="s">
        <v>3</v>
      </c>
      <c r="E43" s="41">
        <v>2700</v>
      </c>
      <c r="F43" s="41">
        <v>2700</v>
      </c>
    </row>
    <row r="44" spans="3:6" x14ac:dyDescent="0.3">
      <c r="C44" s="35"/>
      <c r="D44" s="19"/>
      <c r="E44" s="41"/>
      <c r="F44" s="41"/>
    </row>
    <row r="45" spans="3:6" x14ac:dyDescent="0.3">
      <c r="C45" s="18"/>
      <c r="D45" s="19"/>
      <c r="E45" s="41"/>
      <c r="F45" s="41"/>
    </row>
    <row r="46" spans="3:6" x14ac:dyDescent="0.3">
      <c r="C46" s="18"/>
      <c r="D46" s="19"/>
      <c r="E46" s="41"/>
      <c r="F46" s="41"/>
    </row>
    <row r="47" spans="3:6" x14ac:dyDescent="0.3">
      <c r="E47" s="30"/>
      <c r="F47" s="30"/>
    </row>
    <row r="48" spans="3:6" x14ac:dyDescent="0.3">
      <c r="C48" s="3" t="s">
        <v>75</v>
      </c>
    </row>
    <row r="49" spans="3:9" x14ac:dyDescent="0.3">
      <c r="C49" s="3" t="s">
        <v>114</v>
      </c>
    </row>
    <row r="51" spans="3:9" x14ac:dyDescent="0.3">
      <c r="C51" s="97" t="s">
        <v>156</v>
      </c>
      <c r="G51" s="97" t="s">
        <v>162</v>
      </c>
      <c r="H51" s="126" t="s">
        <v>163</v>
      </c>
      <c r="I51" s="126"/>
    </row>
    <row r="52" spans="3:9" x14ac:dyDescent="0.3">
      <c r="C52" s="97" t="s">
        <v>157</v>
      </c>
      <c r="G52" s="97" t="s">
        <v>164</v>
      </c>
      <c r="H52" s="126" t="s">
        <v>160</v>
      </c>
      <c r="I52" s="4"/>
    </row>
    <row r="53" spans="3:9" x14ac:dyDescent="0.3">
      <c r="C53" s="97" t="s">
        <v>158</v>
      </c>
      <c r="G53" s="127">
        <v>41548</v>
      </c>
      <c r="H53" s="4">
        <v>1400</v>
      </c>
      <c r="I53" s="4"/>
    </row>
    <row r="54" spans="3:9" x14ac:dyDescent="0.3">
      <c r="C54" s="97" t="s">
        <v>159</v>
      </c>
      <c r="D54" s="126" t="s">
        <v>160</v>
      </c>
      <c r="G54" s="127">
        <v>41579</v>
      </c>
      <c r="H54" s="4">
        <v>1500</v>
      </c>
      <c r="I54" s="4"/>
    </row>
    <row r="55" spans="3:9" x14ac:dyDescent="0.3">
      <c r="C55" s="3">
        <v>2008</v>
      </c>
      <c r="D55" s="4">
        <v>1614</v>
      </c>
      <c r="G55" s="127">
        <v>41609</v>
      </c>
      <c r="H55" s="4">
        <v>1400</v>
      </c>
      <c r="I55" s="4"/>
    </row>
    <row r="56" spans="3:9" x14ac:dyDescent="0.3">
      <c r="C56" s="3">
        <v>2009</v>
      </c>
      <c r="D56" s="4">
        <v>1539</v>
      </c>
      <c r="G56" s="127">
        <v>41640</v>
      </c>
      <c r="H56" s="4">
        <v>1400</v>
      </c>
      <c r="I56" s="4"/>
    </row>
    <row r="57" spans="3:9" x14ac:dyDescent="0.3">
      <c r="C57" s="3">
        <v>2010</v>
      </c>
      <c r="D57" s="4">
        <v>1615</v>
      </c>
      <c r="G57" s="127">
        <v>41671</v>
      </c>
      <c r="H57" s="4">
        <v>1400</v>
      </c>
      <c r="I57" s="4"/>
    </row>
    <row r="58" spans="3:9" x14ac:dyDescent="0.3">
      <c r="C58" s="3">
        <v>2011</v>
      </c>
      <c r="D58" s="4">
        <v>1889</v>
      </c>
      <c r="G58" s="127">
        <v>41699</v>
      </c>
      <c r="H58" s="4">
        <v>1350</v>
      </c>
      <c r="I58" s="4"/>
    </row>
    <row r="59" spans="3:9" x14ac:dyDescent="0.3">
      <c r="C59" s="3">
        <v>2012</v>
      </c>
      <c r="D59" s="4">
        <v>2026</v>
      </c>
      <c r="G59" s="127">
        <v>41730</v>
      </c>
      <c r="H59" s="4">
        <v>1500</v>
      </c>
      <c r="I59" s="4"/>
    </row>
    <row r="60" spans="3:9" x14ac:dyDescent="0.3">
      <c r="C60" s="3">
        <v>2013</v>
      </c>
      <c r="D60" s="4">
        <v>2000</v>
      </c>
      <c r="G60" s="97" t="s">
        <v>161</v>
      </c>
      <c r="H60" s="4">
        <f>AVERAGE(H53:H59)</f>
        <v>1421.4285714285713</v>
      </c>
      <c r="I60" s="4"/>
    </row>
    <row r="61" spans="3:9" x14ac:dyDescent="0.3">
      <c r="C61" s="97" t="s">
        <v>161</v>
      </c>
      <c r="D61" s="4">
        <f>AVERAGE(D55:D60)</f>
        <v>1780.5</v>
      </c>
    </row>
    <row r="73" spans="3:3" x14ac:dyDescent="0.3">
      <c r="C73" s="127"/>
    </row>
    <row r="74" spans="3:3" x14ac:dyDescent="0.3">
      <c r="C74" s="127"/>
    </row>
  </sheetData>
  <mergeCells count="4">
    <mergeCell ref="E4:E5"/>
    <mergeCell ref="F4:F5"/>
    <mergeCell ref="D4:D5"/>
    <mergeCell ref="C4:C5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21"/>
  <sheetViews>
    <sheetView workbookViewId="0">
      <selection sqref="A1:XFD1"/>
    </sheetView>
  </sheetViews>
  <sheetFormatPr defaultRowHeight="13.2" x14ac:dyDescent="0.25"/>
  <cols>
    <col min="2" max="2" width="12.21875" bestFit="1" customWidth="1"/>
    <col min="3" max="3" width="22.5546875" bestFit="1" customWidth="1"/>
  </cols>
  <sheetData>
    <row r="1" spans="1:6" x14ac:dyDescent="0.25">
      <c r="A1" t="s">
        <v>169</v>
      </c>
      <c r="B1" t="s">
        <v>170</v>
      </c>
      <c r="C1" t="s">
        <v>171</v>
      </c>
      <c r="D1" t="s">
        <v>0</v>
      </c>
      <c r="E1" t="s">
        <v>172</v>
      </c>
      <c r="F1" t="s">
        <v>173</v>
      </c>
    </row>
    <row r="2" spans="1:6" x14ac:dyDescent="0.25">
      <c r="A2" s="121" t="s">
        <v>174</v>
      </c>
      <c r="B2" t="s">
        <v>30</v>
      </c>
      <c r="C2" t="s">
        <v>9</v>
      </c>
      <c r="D2" t="s">
        <v>3</v>
      </c>
      <c r="E2">
        <v>0</v>
      </c>
      <c r="F2">
        <v>0</v>
      </c>
    </row>
    <row r="3" spans="1:6" x14ac:dyDescent="0.25">
      <c r="A3" s="121" t="s">
        <v>174</v>
      </c>
      <c r="B3" t="s">
        <v>30</v>
      </c>
      <c r="C3" t="s">
        <v>22</v>
      </c>
      <c r="D3" t="s">
        <v>3</v>
      </c>
      <c r="E3">
        <v>0</v>
      </c>
      <c r="F3">
        <v>0</v>
      </c>
    </row>
    <row r="4" spans="1:6" x14ac:dyDescent="0.25">
      <c r="A4" s="121" t="s">
        <v>174</v>
      </c>
      <c r="B4" t="s">
        <v>31</v>
      </c>
      <c r="C4" t="s">
        <v>135</v>
      </c>
      <c r="D4" t="s">
        <v>8</v>
      </c>
      <c r="E4">
        <v>65000</v>
      </c>
      <c r="F4">
        <v>65000</v>
      </c>
    </row>
    <row r="5" spans="1:6" x14ac:dyDescent="0.25">
      <c r="A5" s="121" t="s">
        <v>174</v>
      </c>
      <c r="B5" t="s">
        <v>35</v>
      </c>
      <c r="C5" t="s">
        <v>110</v>
      </c>
      <c r="D5" t="s">
        <v>81</v>
      </c>
      <c r="E5">
        <v>3000</v>
      </c>
      <c r="F5">
        <v>3000</v>
      </c>
    </row>
    <row r="6" spans="1:6" x14ac:dyDescent="0.25">
      <c r="A6" s="121" t="s">
        <v>174</v>
      </c>
      <c r="B6" t="s">
        <v>36</v>
      </c>
      <c r="C6" t="s">
        <v>88</v>
      </c>
      <c r="D6" t="s">
        <v>4</v>
      </c>
      <c r="E6">
        <v>30000</v>
      </c>
      <c r="F6">
        <v>30000</v>
      </c>
    </row>
    <row r="7" spans="1:6" x14ac:dyDescent="0.25">
      <c r="A7" s="121" t="s">
        <v>174</v>
      </c>
      <c r="B7" t="s">
        <v>36</v>
      </c>
      <c r="C7" t="s">
        <v>89</v>
      </c>
      <c r="D7" t="s">
        <v>4</v>
      </c>
      <c r="E7">
        <v>4000</v>
      </c>
      <c r="F7">
        <v>4000</v>
      </c>
    </row>
    <row r="8" spans="1:6" x14ac:dyDescent="0.25">
      <c r="A8" s="121" t="s">
        <v>174</v>
      </c>
      <c r="B8" t="s">
        <v>36</v>
      </c>
      <c r="C8" t="s">
        <v>38</v>
      </c>
      <c r="D8" t="s">
        <v>4</v>
      </c>
      <c r="E8">
        <v>100000</v>
      </c>
      <c r="F8">
        <v>100000</v>
      </c>
    </row>
    <row r="9" spans="1:6" x14ac:dyDescent="0.25">
      <c r="A9" s="121" t="s">
        <v>174</v>
      </c>
      <c r="B9" t="s">
        <v>36</v>
      </c>
      <c r="C9" t="s">
        <v>39</v>
      </c>
      <c r="D9" t="s">
        <v>4</v>
      </c>
      <c r="E9">
        <v>75000</v>
      </c>
      <c r="F9">
        <v>75000</v>
      </c>
    </row>
    <row r="10" spans="1:6" x14ac:dyDescent="0.25">
      <c r="A10" s="121" t="s">
        <v>174</v>
      </c>
      <c r="B10" t="s">
        <v>36</v>
      </c>
      <c r="C10" t="s">
        <v>92</v>
      </c>
      <c r="D10" t="s">
        <v>4</v>
      </c>
      <c r="E10">
        <v>300000</v>
      </c>
      <c r="F10">
        <v>300000</v>
      </c>
    </row>
    <row r="11" spans="1:6" x14ac:dyDescent="0.25">
      <c r="A11" s="121" t="s">
        <v>174</v>
      </c>
      <c r="B11" t="s">
        <v>36</v>
      </c>
      <c r="C11" t="s">
        <v>93</v>
      </c>
      <c r="D11" t="s">
        <v>4</v>
      </c>
      <c r="E11">
        <v>20000</v>
      </c>
      <c r="F11">
        <v>20000</v>
      </c>
    </row>
    <row r="12" spans="1:6" x14ac:dyDescent="0.25">
      <c r="A12" s="121" t="s">
        <v>174</v>
      </c>
      <c r="B12" t="s">
        <v>36</v>
      </c>
      <c r="C12" t="s">
        <v>106</v>
      </c>
      <c r="D12" t="s">
        <v>4</v>
      </c>
      <c r="E12">
        <v>5000</v>
      </c>
      <c r="F12">
        <v>5000</v>
      </c>
    </row>
    <row r="13" spans="1:6" x14ac:dyDescent="0.25">
      <c r="A13" s="121" t="s">
        <v>174</v>
      </c>
      <c r="B13" t="s">
        <v>37</v>
      </c>
      <c r="C13" t="s">
        <v>98</v>
      </c>
      <c r="D13" t="s">
        <v>19</v>
      </c>
      <c r="E13">
        <v>70000</v>
      </c>
      <c r="F13">
        <v>70000</v>
      </c>
    </row>
    <row r="14" spans="1:6" x14ac:dyDescent="0.25">
      <c r="A14" s="121" t="s">
        <v>174</v>
      </c>
      <c r="B14" t="s">
        <v>37</v>
      </c>
      <c r="C14" t="s">
        <v>97</v>
      </c>
      <c r="D14" t="s">
        <v>19</v>
      </c>
      <c r="E14">
        <v>70000</v>
      </c>
      <c r="F14">
        <v>70000</v>
      </c>
    </row>
    <row r="15" spans="1:6" x14ac:dyDescent="0.25">
      <c r="A15" s="121" t="s">
        <v>174</v>
      </c>
      <c r="B15" t="s">
        <v>37</v>
      </c>
      <c r="C15" t="s">
        <v>84</v>
      </c>
      <c r="D15" t="s">
        <v>19</v>
      </c>
      <c r="E15">
        <v>70000</v>
      </c>
      <c r="F15">
        <v>70000</v>
      </c>
    </row>
    <row r="16" spans="1:6" x14ac:dyDescent="0.25">
      <c r="A16" s="121" t="s">
        <v>174</v>
      </c>
      <c r="B16" t="s">
        <v>37</v>
      </c>
      <c r="C16" t="s">
        <v>85</v>
      </c>
      <c r="D16" t="s">
        <v>19</v>
      </c>
      <c r="E16">
        <v>70000</v>
      </c>
      <c r="F16">
        <v>70000</v>
      </c>
    </row>
    <row r="17" spans="1:6" x14ac:dyDescent="0.25">
      <c r="A17" s="121" t="s">
        <v>174</v>
      </c>
      <c r="B17" t="s">
        <v>37</v>
      </c>
      <c r="C17" t="s">
        <v>109</v>
      </c>
      <c r="D17" t="s">
        <v>19</v>
      </c>
      <c r="E17">
        <v>70000</v>
      </c>
      <c r="F17">
        <v>70000</v>
      </c>
    </row>
    <row r="18" spans="1:6" x14ac:dyDescent="0.25">
      <c r="A18" s="121" t="s">
        <v>174</v>
      </c>
      <c r="B18" t="s">
        <v>37</v>
      </c>
      <c r="C18" t="s">
        <v>82</v>
      </c>
      <c r="D18" t="s">
        <v>19</v>
      </c>
      <c r="E18">
        <v>70000</v>
      </c>
      <c r="F18">
        <v>70000</v>
      </c>
    </row>
    <row r="19" spans="1:6" x14ac:dyDescent="0.25">
      <c r="A19" s="121" t="s">
        <v>174</v>
      </c>
      <c r="B19" t="s">
        <v>37</v>
      </c>
      <c r="C19" t="s">
        <v>83</v>
      </c>
      <c r="D19" t="s">
        <v>19</v>
      </c>
      <c r="E19">
        <v>70000</v>
      </c>
      <c r="F19">
        <v>70000</v>
      </c>
    </row>
    <row r="20" spans="1:6" x14ac:dyDescent="0.25">
      <c r="A20" s="121" t="s">
        <v>174</v>
      </c>
      <c r="B20" t="s">
        <v>37</v>
      </c>
      <c r="C20" t="s">
        <v>104</v>
      </c>
      <c r="D20" t="s">
        <v>19</v>
      </c>
      <c r="E20">
        <v>70000</v>
      </c>
      <c r="F20">
        <v>70000</v>
      </c>
    </row>
    <row r="21" spans="1:6" x14ac:dyDescent="0.25">
      <c r="A21" s="121" t="s">
        <v>174</v>
      </c>
      <c r="B21" t="s">
        <v>37</v>
      </c>
      <c r="C21" t="s">
        <v>107</v>
      </c>
      <c r="D21" t="s">
        <v>19</v>
      </c>
      <c r="E21">
        <v>70000</v>
      </c>
      <c r="F21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"/>
  <sheetViews>
    <sheetView workbookViewId="0">
      <selection sqref="A1:B3"/>
    </sheetView>
  </sheetViews>
  <sheetFormatPr defaultRowHeight="13.2" x14ac:dyDescent="0.25"/>
  <cols>
    <col min="3" max="3" width="15.77734375" bestFit="1" customWidth="1"/>
  </cols>
  <sheetData>
    <row r="1" spans="1:6" x14ac:dyDescent="0.25">
      <c r="A1" t="s">
        <v>169</v>
      </c>
      <c r="B1" t="s">
        <v>170</v>
      </c>
      <c r="C1" t="s">
        <v>171</v>
      </c>
      <c r="D1" t="s">
        <v>0</v>
      </c>
      <c r="E1" t="s">
        <v>172</v>
      </c>
      <c r="F1" t="s">
        <v>173</v>
      </c>
    </row>
    <row r="2" spans="1:6" x14ac:dyDescent="0.25">
      <c r="A2" s="121" t="s">
        <v>175</v>
      </c>
      <c r="B2" s="121" t="s">
        <v>176</v>
      </c>
      <c r="C2" t="s">
        <v>87</v>
      </c>
      <c r="D2" t="s">
        <v>140</v>
      </c>
      <c r="E2">
        <v>1200</v>
      </c>
      <c r="F2">
        <v>1200</v>
      </c>
    </row>
    <row r="3" spans="1:6" x14ac:dyDescent="0.25">
      <c r="A3" s="121" t="s">
        <v>175</v>
      </c>
      <c r="B3" s="144" t="s">
        <v>176</v>
      </c>
      <c r="C3" t="s">
        <v>90</v>
      </c>
      <c r="D3" t="s">
        <v>3</v>
      </c>
      <c r="E3">
        <v>2700</v>
      </c>
      <c r="F3">
        <v>2700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56"/>
  <sheetViews>
    <sheetView zoomScale="85" zoomScaleNormal="85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A43" activeCellId="1" sqref="A40:XFD40 A43:XFD43"/>
    </sheetView>
  </sheetViews>
  <sheetFormatPr defaultColWidth="9.109375" defaultRowHeight="14.4" x14ac:dyDescent="0.3"/>
  <cols>
    <col min="1" max="1" width="9.109375" style="3"/>
    <col min="2" max="2" width="33.44140625" style="3" bestFit="1" customWidth="1"/>
    <col min="3" max="3" width="14.5546875" style="4" customWidth="1"/>
    <col min="4" max="5" width="4.88671875" style="30" bestFit="1" customWidth="1"/>
    <col min="6" max="6" width="4.88671875" style="39" bestFit="1" customWidth="1"/>
    <col min="7" max="7" width="7.6640625" style="30" bestFit="1" customWidth="1"/>
    <col min="8" max="8" width="6.6640625" style="30" bestFit="1" customWidth="1"/>
    <col min="9" max="11" width="6.6640625" style="39" bestFit="1" customWidth="1"/>
    <col min="12" max="12" width="6.6640625" style="30" bestFit="1" customWidth="1"/>
    <col min="13" max="13" width="6.88671875" style="30" bestFit="1" customWidth="1"/>
    <col min="14" max="14" width="6.88671875" style="39" bestFit="1" customWidth="1"/>
    <col min="15" max="17" width="6.88671875" style="30" bestFit="1" customWidth="1"/>
    <col min="18" max="22" width="7.6640625" style="30" bestFit="1" customWidth="1"/>
    <col min="23" max="33" width="6.88671875" style="30" bestFit="1" customWidth="1"/>
    <col min="34" max="40" width="9.109375" style="8"/>
    <col min="41" max="16384" width="9.109375" style="3"/>
  </cols>
  <sheetData>
    <row r="1" spans="2:49" s="76" customFormat="1" ht="18" x14ac:dyDescent="0.35">
      <c r="B1" s="73" t="s">
        <v>18</v>
      </c>
      <c r="C1" s="74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5"/>
      <c r="AI1" s="75"/>
      <c r="AJ1" s="75"/>
      <c r="AK1" s="75"/>
      <c r="AL1" s="75"/>
      <c r="AM1" s="75"/>
      <c r="AN1" s="75"/>
    </row>
    <row r="2" spans="2:49" s="76" customFormat="1" x14ac:dyDescent="0.3">
      <c r="B2" s="80" t="str">
        <f>Summary!B1</f>
        <v xml:space="preserve">Traditional coconut monoculture </v>
      </c>
      <c r="C2" s="74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5"/>
      <c r="AI2" s="75"/>
      <c r="AJ2" s="75"/>
      <c r="AK2" s="75"/>
      <c r="AL2" s="75"/>
      <c r="AM2" s="75"/>
      <c r="AN2" s="75"/>
    </row>
    <row r="3" spans="2:49" s="76" customFormat="1" x14ac:dyDescent="0.3">
      <c r="C3" s="77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79"/>
      <c r="AD3" s="79"/>
      <c r="AE3" s="79"/>
      <c r="AF3" s="79"/>
      <c r="AG3" s="79"/>
      <c r="AH3" s="75"/>
      <c r="AI3" s="75"/>
      <c r="AJ3" s="75"/>
      <c r="AK3" s="75"/>
      <c r="AL3" s="75"/>
      <c r="AM3" s="75"/>
      <c r="AN3" s="75"/>
    </row>
    <row r="4" spans="2:49" s="77" customFormat="1" ht="12.75" customHeight="1" x14ac:dyDescent="0.3">
      <c r="B4" s="140" t="s">
        <v>76</v>
      </c>
      <c r="C4" s="138" t="s">
        <v>0</v>
      </c>
      <c r="D4" s="142" t="s">
        <v>42</v>
      </c>
      <c r="E4" s="142" t="s">
        <v>43</v>
      </c>
      <c r="F4" s="142" t="s">
        <v>44</v>
      </c>
      <c r="G4" s="142" t="s">
        <v>45</v>
      </c>
      <c r="H4" s="142" t="s">
        <v>46</v>
      </c>
      <c r="I4" s="142" t="s">
        <v>47</v>
      </c>
      <c r="J4" s="142" t="s">
        <v>48</v>
      </c>
      <c r="K4" s="142" t="s">
        <v>49</v>
      </c>
      <c r="L4" s="142" t="s">
        <v>50</v>
      </c>
      <c r="M4" s="142" t="s">
        <v>51</v>
      </c>
      <c r="N4" s="142" t="s">
        <v>52</v>
      </c>
      <c r="O4" s="142" t="s">
        <v>53</v>
      </c>
      <c r="P4" s="142" t="s">
        <v>54</v>
      </c>
      <c r="Q4" s="142" t="s">
        <v>55</v>
      </c>
      <c r="R4" s="142" t="s">
        <v>56</v>
      </c>
      <c r="S4" s="142" t="s">
        <v>57</v>
      </c>
      <c r="T4" s="142" t="s">
        <v>58</v>
      </c>
      <c r="U4" s="142" t="s">
        <v>59</v>
      </c>
      <c r="V4" s="142" t="s">
        <v>60</v>
      </c>
      <c r="W4" s="142" t="s">
        <v>61</v>
      </c>
      <c r="X4" s="142" t="s">
        <v>62</v>
      </c>
      <c r="Y4" s="142" t="s">
        <v>63</v>
      </c>
      <c r="Z4" s="142" t="s">
        <v>64</v>
      </c>
      <c r="AA4" s="142" t="s">
        <v>65</v>
      </c>
      <c r="AB4" s="142" t="s">
        <v>66</v>
      </c>
      <c r="AC4" s="142" t="s">
        <v>67</v>
      </c>
      <c r="AD4" s="142" t="s">
        <v>68</v>
      </c>
      <c r="AE4" s="142" t="s">
        <v>69</v>
      </c>
      <c r="AF4" s="142" t="s">
        <v>70</v>
      </c>
      <c r="AG4" s="142" t="s">
        <v>71</v>
      </c>
      <c r="AH4" s="82"/>
      <c r="AI4" s="82"/>
      <c r="AJ4" s="82"/>
      <c r="AK4" s="82"/>
      <c r="AL4" s="82"/>
      <c r="AM4" s="82"/>
      <c r="AN4" s="82"/>
      <c r="AO4" s="83"/>
      <c r="AP4" s="83"/>
      <c r="AQ4" s="83"/>
      <c r="AR4" s="83"/>
      <c r="AS4" s="83"/>
      <c r="AT4" s="83"/>
      <c r="AU4" s="83"/>
      <c r="AV4" s="83"/>
      <c r="AW4" s="83"/>
    </row>
    <row r="5" spans="2:49" s="77" customFormat="1" ht="19.5" customHeight="1" x14ac:dyDescent="0.3">
      <c r="B5" s="143"/>
      <c r="C5" s="139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82"/>
      <c r="AI5" s="82"/>
      <c r="AJ5" s="82"/>
      <c r="AK5" s="82"/>
      <c r="AL5" s="82"/>
      <c r="AM5" s="82"/>
      <c r="AN5" s="82"/>
      <c r="AO5" s="83"/>
      <c r="AP5" s="83"/>
      <c r="AQ5" s="83"/>
      <c r="AR5" s="83"/>
      <c r="AS5" s="83"/>
      <c r="AT5" s="83"/>
      <c r="AU5" s="83"/>
      <c r="AV5" s="83"/>
      <c r="AW5" s="83"/>
    </row>
    <row r="6" spans="2:49" ht="15" customHeight="1" x14ac:dyDescent="0.3">
      <c r="B6" s="141"/>
      <c r="C6" s="52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36"/>
      <c r="AI6" s="36"/>
      <c r="AJ6" s="36"/>
      <c r="AK6" s="36"/>
      <c r="AL6" s="36"/>
      <c r="AM6" s="36"/>
      <c r="AN6" s="36"/>
      <c r="AO6" s="37"/>
      <c r="AP6" s="37"/>
      <c r="AQ6" s="37"/>
      <c r="AR6" s="37"/>
      <c r="AS6" s="37"/>
      <c r="AT6" s="37"/>
      <c r="AU6" s="37"/>
      <c r="AV6" s="37"/>
      <c r="AW6" s="37"/>
    </row>
    <row r="7" spans="2:49" x14ac:dyDescent="0.3">
      <c r="B7" s="16" t="s">
        <v>30</v>
      </c>
      <c r="C7" s="19"/>
      <c r="D7" s="41"/>
      <c r="E7" s="41"/>
      <c r="F7" s="42"/>
      <c r="G7" s="41"/>
      <c r="H7" s="41"/>
      <c r="I7" s="42"/>
      <c r="J7" s="42"/>
      <c r="K7" s="42"/>
      <c r="L7" s="41"/>
      <c r="M7" s="43"/>
      <c r="N7" s="4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36"/>
      <c r="AI7" s="36"/>
      <c r="AJ7" s="36"/>
      <c r="AK7" s="36"/>
      <c r="AL7" s="36"/>
      <c r="AM7" s="36"/>
      <c r="AN7" s="36"/>
      <c r="AO7" s="37"/>
      <c r="AP7" s="37"/>
      <c r="AQ7" s="37"/>
      <c r="AR7" s="37"/>
      <c r="AS7" s="37"/>
      <c r="AT7" s="37"/>
      <c r="AU7" s="37"/>
      <c r="AV7" s="37"/>
      <c r="AW7" s="37"/>
    </row>
    <row r="8" spans="2:49" x14ac:dyDescent="0.3">
      <c r="B8" s="35" t="s">
        <v>9</v>
      </c>
      <c r="C8" s="19" t="s">
        <v>112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36"/>
      <c r="AI8" s="36"/>
      <c r="AJ8" s="36"/>
      <c r="AK8" s="36"/>
      <c r="AL8" s="36"/>
      <c r="AM8" s="36"/>
      <c r="AN8" s="36"/>
      <c r="AO8" s="37"/>
      <c r="AP8" s="37"/>
      <c r="AQ8" s="37"/>
      <c r="AR8" s="37"/>
      <c r="AS8" s="37"/>
      <c r="AT8" s="37"/>
      <c r="AU8" s="37"/>
      <c r="AV8" s="37"/>
      <c r="AW8" s="37"/>
    </row>
    <row r="9" spans="2:49" x14ac:dyDescent="0.3">
      <c r="B9" s="35" t="s">
        <v>22</v>
      </c>
      <c r="C9" s="19" t="s">
        <v>112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36"/>
      <c r="AI9" s="36"/>
      <c r="AJ9" s="36"/>
      <c r="AK9" s="36"/>
      <c r="AL9" s="36"/>
      <c r="AM9" s="36"/>
      <c r="AN9" s="36"/>
      <c r="AO9" s="37"/>
      <c r="AP9" s="37"/>
      <c r="AQ9" s="37"/>
      <c r="AR9" s="37"/>
      <c r="AS9" s="37"/>
      <c r="AT9" s="37"/>
      <c r="AU9" s="37"/>
      <c r="AV9" s="37"/>
      <c r="AW9" s="37"/>
    </row>
    <row r="10" spans="2:49" x14ac:dyDescent="0.3">
      <c r="B10" s="16" t="s">
        <v>31</v>
      </c>
      <c r="C10" s="19"/>
      <c r="D10" s="45"/>
      <c r="E10" s="45"/>
      <c r="F10" s="46"/>
      <c r="G10" s="45"/>
      <c r="H10" s="45"/>
      <c r="I10" s="46"/>
      <c r="J10" s="46"/>
      <c r="K10" s="46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36"/>
      <c r="AI10" s="36"/>
      <c r="AJ10" s="36"/>
      <c r="AK10" s="36"/>
      <c r="AL10" s="36"/>
      <c r="AM10" s="36"/>
      <c r="AN10" s="36"/>
      <c r="AO10" s="37"/>
      <c r="AP10" s="37"/>
      <c r="AQ10" s="37"/>
      <c r="AR10" s="37"/>
      <c r="AS10" s="37"/>
      <c r="AT10" s="37"/>
      <c r="AU10" s="37"/>
      <c r="AV10" s="37"/>
      <c r="AW10" s="37"/>
    </row>
    <row r="11" spans="2:49" x14ac:dyDescent="0.3">
      <c r="B11" s="35" t="s">
        <v>135</v>
      </c>
      <c r="C11" s="19" t="s">
        <v>123</v>
      </c>
      <c r="D11" s="45">
        <f>2*2</f>
        <v>4</v>
      </c>
      <c r="E11" s="45">
        <f t="shared" ref="E11:AG11" si="0">2*2</f>
        <v>4</v>
      </c>
      <c r="F11" s="45">
        <f t="shared" si="0"/>
        <v>4</v>
      </c>
      <c r="G11" s="45">
        <f t="shared" si="0"/>
        <v>4</v>
      </c>
      <c r="H11" s="45">
        <f t="shared" si="0"/>
        <v>4</v>
      </c>
      <c r="I11" s="45">
        <f t="shared" si="0"/>
        <v>4</v>
      </c>
      <c r="J11" s="45">
        <f t="shared" si="0"/>
        <v>4</v>
      </c>
      <c r="K11" s="45">
        <f t="shared" si="0"/>
        <v>4</v>
      </c>
      <c r="L11" s="45">
        <f t="shared" si="0"/>
        <v>4</v>
      </c>
      <c r="M11" s="45">
        <f t="shared" si="0"/>
        <v>4</v>
      </c>
      <c r="N11" s="45">
        <f t="shared" si="0"/>
        <v>4</v>
      </c>
      <c r="O11" s="45">
        <f t="shared" si="0"/>
        <v>4</v>
      </c>
      <c r="P11" s="45">
        <f t="shared" si="0"/>
        <v>4</v>
      </c>
      <c r="Q11" s="45">
        <f t="shared" si="0"/>
        <v>4</v>
      </c>
      <c r="R11" s="45">
        <f t="shared" si="0"/>
        <v>4</v>
      </c>
      <c r="S11" s="45">
        <f t="shared" si="0"/>
        <v>4</v>
      </c>
      <c r="T11" s="45">
        <f t="shared" si="0"/>
        <v>4</v>
      </c>
      <c r="U11" s="45">
        <f t="shared" si="0"/>
        <v>4</v>
      </c>
      <c r="V11" s="45">
        <f t="shared" si="0"/>
        <v>4</v>
      </c>
      <c r="W11" s="45">
        <f t="shared" si="0"/>
        <v>4</v>
      </c>
      <c r="X11" s="45">
        <f t="shared" si="0"/>
        <v>4</v>
      </c>
      <c r="Y11" s="45">
        <f t="shared" si="0"/>
        <v>4</v>
      </c>
      <c r="Z11" s="45">
        <f t="shared" si="0"/>
        <v>4</v>
      </c>
      <c r="AA11" s="45">
        <f t="shared" si="0"/>
        <v>4</v>
      </c>
      <c r="AB11" s="45">
        <f t="shared" si="0"/>
        <v>4</v>
      </c>
      <c r="AC11" s="45">
        <f t="shared" si="0"/>
        <v>4</v>
      </c>
      <c r="AD11" s="45">
        <f t="shared" si="0"/>
        <v>4</v>
      </c>
      <c r="AE11" s="45">
        <f t="shared" si="0"/>
        <v>4</v>
      </c>
      <c r="AF11" s="45">
        <f t="shared" si="0"/>
        <v>4</v>
      </c>
      <c r="AG11" s="45">
        <f t="shared" si="0"/>
        <v>4</v>
      </c>
      <c r="AH11" s="36"/>
      <c r="AI11" s="36"/>
      <c r="AJ11" s="36"/>
      <c r="AK11" s="36"/>
      <c r="AL11" s="36"/>
      <c r="AM11" s="36"/>
      <c r="AN11" s="36"/>
      <c r="AO11" s="37"/>
      <c r="AP11" s="37"/>
      <c r="AQ11" s="37"/>
      <c r="AR11" s="37"/>
      <c r="AS11" s="37"/>
      <c r="AT11" s="37"/>
      <c r="AU11" s="37"/>
      <c r="AV11" s="37"/>
      <c r="AW11" s="37"/>
    </row>
    <row r="12" spans="2:49" x14ac:dyDescent="0.3">
      <c r="B12" s="35"/>
      <c r="C12" s="19"/>
      <c r="D12" s="45"/>
      <c r="E12" s="45"/>
      <c r="F12" s="47"/>
      <c r="G12" s="48"/>
      <c r="H12" s="48"/>
      <c r="I12" s="47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36"/>
      <c r="AI12" s="36"/>
      <c r="AJ12" s="36"/>
      <c r="AK12" s="36"/>
      <c r="AL12" s="36"/>
      <c r="AM12" s="36"/>
      <c r="AN12" s="36"/>
      <c r="AO12" s="37"/>
      <c r="AP12" s="37"/>
      <c r="AQ12" s="37"/>
      <c r="AR12" s="37"/>
      <c r="AS12" s="37"/>
      <c r="AT12" s="37"/>
      <c r="AU12" s="37"/>
      <c r="AV12" s="37"/>
      <c r="AW12" s="37"/>
    </row>
    <row r="13" spans="2:49" s="7" customFormat="1" x14ac:dyDescent="0.3">
      <c r="B13" s="16" t="s">
        <v>35</v>
      </c>
      <c r="C13" s="19"/>
      <c r="D13" s="45"/>
      <c r="E13" s="45"/>
      <c r="F13" s="46"/>
      <c r="G13" s="45"/>
      <c r="H13" s="45"/>
      <c r="I13" s="46"/>
      <c r="J13" s="46"/>
      <c r="K13" s="46"/>
      <c r="L13" s="45"/>
      <c r="M13" s="49"/>
      <c r="N13" s="50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36"/>
      <c r="AI13" s="36"/>
      <c r="AJ13" s="36"/>
      <c r="AK13" s="36"/>
      <c r="AL13" s="36"/>
      <c r="AM13" s="36"/>
      <c r="AN13" s="36"/>
      <c r="AO13" s="38"/>
      <c r="AP13" s="38"/>
      <c r="AQ13" s="38"/>
      <c r="AR13" s="38"/>
      <c r="AS13" s="38"/>
      <c r="AT13" s="38"/>
      <c r="AU13" s="38"/>
      <c r="AV13" s="38"/>
      <c r="AW13" s="38"/>
    </row>
    <row r="14" spans="2:49" s="7" customFormat="1" x14ac:dyDescent="0.3">
      <c r="B14" s="35" t="s">
        <v>110</v>
      </c>
      <c r="C14" s="19" t="s">
        <v>72</v>
      </c>
      <c r="D14" s="45">
        <v>130</v>
      </c>
      <c r="E14" s="45"/>
      <c r="F14" s="46"/>
      <c r="G14" s="45"/>
      <c r="H14" s="45"/>
      <c r="I14" s="46"/>
      <c r="J14" s="46"/>
      <c r="K14" s="46"/>
      <c r="L14" s="45"/>
      <c r="M14" s="49"/>
      <c r="N14" s="50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36"/>
      <c r="AI14" s="36"/>
      <c r="AJ14" s="36"/>
      <c r="AK14" s="36"/>
      <c r="AL14" s="36"/>
      <c r="AM14" s="36"/>
      <c r="AN14" s="36"/>
      <c r="AO14" s="38"/>
      <c r="AP14" s="38"/>
      <c r="AQ14" s="38"/>
      <c r="AR14" s="38"/>
      <c r="AS14" s="38"/>
      <c r="AT14" s="38"/>
      <c r="AU14" s="38"/>
      <c r="AV14" s="38"/>
      <c r="AW14" s="38"/>
    </row>
    <row r="15" spans="2:49" s="7" customFormat="1" x14ac:dyDescent="0.3">
      <c r="B15" s="35"/>
      <c r="C15" s="19"/>
      <c r="D15" s="45"/>
      <c r="E15" s="45"/>
      <c r="F15" s="46"/>
      <c r="G15" s="45"/>
      <c r="H15" s="45"/>
      <c r="I15" s="46"/>
      <c r="J15" s="46"/>
      <c r="K15" s="46"/>
      <c r="L15" s="45"/>
      <c r="M15" s="49"/>
      <c r="N15" s="50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36"/>
      <c r="AI15" s="36"/>
      <c r="AJ15" s="36"/>
      <c r="AK15" s="36"/>
      <c r="AL15" s="36"/>
      <c r="AM15" s="36"/>
      <c r="AN15" s="36"/>
      <c r="AO15" s="38"/>
      <c r="AP15" s="38"/>
      <c r="AQ15" s="38"/>
      <c r="AR15" s="38"/>
      <c r="AS15" s="38"/>
      <c r="AT15" s="38"/>
      <c r="AU15" s="38"/>
      <c r="AV15" s="38"/>
      <c r="AW15" s="38"/>
    </row>
    <row r="16" spans="2:49" x14ac:dyDescent="0.3">
      <c r="B16" s="16" t="s">
        <v>7</v>
      </c>
      <c r="C16" s="19"/>
      <c r="D16" s="45"/>
      <c r="E16" s="45"/>
      <c r="F16" s="46"/>
      <c r="G16" s="45"/>
      <c r="H16" s="41"/>
      <c r="I16" s="42"/>
      <c r="J16" s="42"/>
      <c r="K16" s="42"/>
      <c r="L16" s="41"/>
      <c r="M16" s="43"/>
      <c r="N16" s="44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36"/>
      <c r="AI16" s="36"/>
      <c r="AJ16" s="36"/>
      <c r="AK16" s="36"/>
      <c r="AL16" s="36"/>
      <c r="AM16" s="36"/>
      <c r="AN16" s="36"/>
      <c r="AO16" s="37"/>
      <c r="AP16" s="37"/>
      <c r="AQ16" s="37"/>
      <c r="AR16" s="37"/>
      <c r="AS16" s="37"/>
      <c r="AT16" s="37"/>
      <c r="AU16" s="37"/>
      <c r="AV16" s="37"/>
      <c r="AW16" s="37"/>
    </row>
    <row r="17" spans="2:49" x14ac:dyDescent="0.3">
      <c r="B17" s="35" t="s">
        <v>88</v>
      </c>
      <c r="C17" s="19" t="s">
        <v>1</v>
      </c>
      <c r="D17" s="45"/>
      <c r="E17" s="45"/>
      <c r="F17" s="46"/>
      <c r="G17" s="45">
        <v>1</v>
      </c>
      <c r="H17" s="45"/>
      <c r="I17" s="46"/>
      <c r="J17" s="45"/>
      <c r="K17" s="46"/>
      <c r="L17" s="45">
        <v>1</v>
      </c>
      <c r="M17" s="45"/>
      <c r="N17" s="46"/>
      <c r="O17" s="45"/>
      <c r="P17" s="46"/>
      <c r="Q17" s="45">
        <v>1</v>
      </c>
      <c r="R17" s="45"/>
      <c r="S17" s="46"/>
      <c r="T17" s="45"/>
      <c r="U17" s="46"/>
      <c r="V17" s="45">
        <v>1</v>
      </c>
      <c r="W17" s="45"/>
      <c r="X17" s="46"/>
      <c r="Y17" s="45"/>
      <c r="Z17" s="46"/>
      <c r="AA17" s="45">
        <v>1</v>
      </c>
      <c r="AB17" s="45"/>
      <c r="AC17" s="46"/>
      <c r="AD17" s="45"/>
      <c r="AE17" s="46"/>
      <c r="AF17" s="45">
        <v>1</v>
      </c>
      <c r="AG17" s="45"/>
      <c r="AH17" s="36"/>
      <c r="AI17" s="36"/>
      <c r="AJ17" s="36"/>
      <c r="AK17" s="36"/>
      <c r="AL17" s="36"/>
      <c r="AM17" s="36"/>
      <c r="AN17" s="36"/>
      <c r="AO17" s="37"/>
      <c r="AP17" s="37"/>
      <c r="AQ17" s="37"/>
      <c r="AR17" s="37"/>
      <c r="AS17" s="37"/>
      <c r="AT17" s="37"/>
      <c r="AU17" s="37"/>
      <c r="AV17" s="37"/>
      <c r="AW17" s="37"/>
    </row>
    <row r="18" spans="2:49" x14ac:dyDescent="0.3">
      <c r="B18" s="86" t="s">
        <v>89</v>
      </c>
      <c r="C18" s="19" t="s">
        <v>1</v>
      </c>
      <c r="D18" s="45">
        <f>D40/100</f>
        <v>0</v>
      </c>
      <c r="E18" s="45">
        <f t="shared" ref="E18:AG18" si="1">E40/100</f>
        <v>0</v>
      </c>
      <c r="F18" s="45">
        <f t="shared" si="1"/>
        <v>0</v>
      </c>
      <c r="G18" s="45">
        <f t="shared" si="1"/>
        <v>0</v>
      </c>
      <c r="H18" s="45">
        <f t="shared" si="1"/>
        <v>0</v>
      </c>
      <c r="I18" s="45">
        <f t="shared" si="1"/>
        <v>35</v>
      </c>
      <c r="J18" s="45">
        <f t="shared" si="1"/>
        <v>35</v>
      </c>
      <c r="K18" s="45">
        <f t="shared" si="1"/>
        <v>35</v>
      </c>
      <c r="L18" s="45">
        <f t="shared" si="1"/>
        <v>75</v>
      </c>
      <c r="M18" s="45">
        <f t="shared" si="1"/>
        <v>75</v>
      </c>
      <c r="N18" s="45">
        <f t="shared" si="1"/>
        <v>100</v>
      </c>
      <c r="O18" s="45">
        <f t="shared" si="1"/>
        <v>100</v>
      </c>
      <c r="P18" s="45">
        <f t="shared" si="1"/>
        <v>100</v>
      </c>
      <c r="Q18" s="45">
        <f t="shared" si="1"/>
        <v>100</v>
      </c>
      <c r="R18" s="45">
        <f t="shared" si="1"/>
        <v>100</v>
      </c>
      <c r="S18" s="45">
        <f t="shared" si="1"/>
        <v>100</v>
      </c>
      <c r="T18" s="45">
        <f t="shared" si="1"/>
        <v>100</v>
      </c>
      <c r="U18" s="45">
        <f t="shared" si="1"/>
        <v>100</v>
      </c>
      <c r="V18" s="45">
        <f t="shared" si="1"/>
        <v>100</v>
      </c>
      <c r="W18" s="45">
        <f t="shared" si="1"/>
        <v>100</v>
      </c>
      <c r="X18" s="45">
        <f t="shared" si="1"/>
        <v>50</v>
      </c>
      <c r="Y18" s="45">
        <f t="shared" si="1"/>
        <v>50</v>
      </c>
      <c r="Z18" s="45">
        <f t="shared" si="1"/>
        <v>50</v>
      </c>
      <c r="AA18" s="45">
        <f t="shared" si="1"/>
        <v>50</v>
      </c>
      <c r="AB18" s="45">
        <f t="shared" si="1"/>
        <v>50</v>
      </c>
      <c r="AC18" s="45">
        <f t="shared" si="1"/>
        <v>50</v>
      </c>
      <c r="AD18" s="45">
        <f t="shared" si="1"/>
        <v>50</v>
      </c>
      <c r="AE18" s="45">
        <f t="shared" si="1"/>
        <v>50</v>
      </c>
      <c r="AF18" s="45">
        <f t="shared" si="1"/>
        <v>50</v>
      </c>
      <c r="AG18" s="45">
        <f t="shared" si="1"/>
        <v>50</v>
      </c>
      <c r="AH18" s="36"/>
      <c r="AI18" s="36"/>
      <c r="AJ18" s="36"/>
      <c r="AK18" s="36"/>
      <c r="AL18" s="36"/>
      <c r="AM18" s="36"/>
      <c r="AN18" s="36"/>
      <c r="AO18" s="37"/>
      <c r="AP18" s="37"/>
      <c r="AQ18" s="37"/>
      <c r="AR18" s="37"/>
      <c r="AS18" s="37"/>
      <c r="AT18" s="37"/>
      <c r="AU18" s="37"/>
      <c r="AV18" s="37"/>
      <c r="AW18" s="37"/>
    </row>
    <row r="19" spans="2:49" x14ac:dyDescent="0.3">
      <c r="B19" s="86" t="s">
        <v>38</v>
      </c>
      <c r="C19" s="19" t="s">
        <v>1</v>
      </c>
      <c r="D19" s="45"/>
      <c r="E19" s="45"/>
      <c r="F19" s="46"/>
      <c r="G19" s="45">
        <v>1</v>
      </c>
      <c r="H19" s="45"/>
      <c r="I19" s="46"/>
      <c r="J19" s="45"/>
      <c r="K19" s="45"/>
      <c r="L19" s="45">
        <v>1</v>
      </c>
      <c r="M19" s="45"/>
      <c r="N19" s="46"/>
      <c r="O19" s="45"/>
      <c r="P19" s="45"/>
      <c r="Q19" s="45">
        <v>1</v>
      </c>
      <c r="R19" s="45"/>
      <c r="S19" s="46"/>
      <c r="T19" s="45"/>
      <c r="U19" s="45"/>
      <c r="V19" s="45">
        <v>1</v>
      </c>
      <c r="W19" s="45"/>
      <c r="X19" s="46"/>
      <c r="Y19" s="45"/>
      <c r="Z19" s="45"/>
      <c r="AA19" s="45">
        <v>1</v>
      </c>
      <c r="AB19" s="45"/>
      <c r="AC19" s="46"/>
      <c r="AD19" s="45"/>
      <c r="AE19" s="45"/>
      <c r="AF19" s="46">
        <v>1</v>
      </c>
      <c r="AG19" s="46"/>
      <c r="AH19" s="36"/>
      <c r="AI19" s="36"/>
      <c r="AJ19" s="36"/>
      <c r="AK19" s="36"/>
      <c r="AL19" s="36"/>
      <c r="AM19" s="36"/>
      <c r="AN19" s="36"/>
      <c r="AO19" s="37"/>
      <c r="AP19" s="37"/>
      <c r="AQ19" s="37"/>
      <c r="AR19" s="37"/>
      <c r="AS19" s="37"/>
      <c r="AT19" s="37"/>
      <c r="AU19" s="37"/>
      <c r="AV19" s="37"/>
      <c r="AW19" s="37"/>
    </row>
    <row r="20" spans="2:49" x14ac:dyDescent="0.3">
      <c r="B20" s="35" t="s">
        <v>39</v>
      </c>
      <c r="C20" s="19" t="s">
        <v>1</v>
      </c>
      <c r="D20" s="45">
        <v>2</v>
      </c>
      <c r="E20" s="45"/>
      <c r="F20" s="45">
        <v>2</v>
      </c>
      <c r="G20" s="45"/>
      <c r="H20" s="45">
        <v>2</v>
      </c>
      <c r="I20" s="45"/>
      <c r="J20" s="45">
        <v>2</v>
      </c>
      <c r="K20" s="45"/>
      <c r="L20" s="45">
        <v>2</v>
      </c>
      <c r="M20" s="45"/>
      <c r="N20" s="45">
        <v>2</v>
      </c>
      <c r="O20" s="45"/>
      <c r="P20" s="45">
        <v>2</v>
      </c>
      <c r="Q20" s="45"/>
      <c r="R20" s="45">
        <v>2</v>
      </c>
      <c r="S20" s="45"/>
      <c r="T20" s="45">
        <v>2</v>
      </c>
      <c r="U20" s="45"/>
      <c r="V20" s="45">
        <v>2</v>
      </c>
      <c r="W20" s="45"/>
      <c r="X20" s="45">
        <v>2</v>
      </c>
      <c r="Y20" s="45"/>
      <c r="Z20" s="45">
        <v>2</v>
      </c>
      <c r="AA20" s="45"/>
      <c r="AB20" s="45">
        <v>2</v>
      </c>
      <c r="AC20" s="45"/>
      <c r="AD20" s="45">
        <v>2</v>
      </c>
      <c r="AE20" s="45"/>
      <c r="AF20" s="45">
        <v>2</v>
      </c>
      <c r="AG20" s="46"/>
      <c r="AH20" s="36"/>
      <c r="AI20" s="36"/>
      <c r="AJ20" s="36"/>
      <c r="AK20" s="36"/>
      <c r="AL20" s="36"/>
      <c r="AM20" s="36"/>
      <c r="AN20" s="36"/>
      <c r="AO20" s="37"/>
      <c r="AP20" s="37"/>
      <c r="AQ20" s="37"/>
      <c r="AR20" s="37"/>
      <c r="AS20" s="37"/>
      <c r="AT20" s="37"/>
      <c r="AU20" s="37"/>
      <c r="AV20" s="37"/>
      <c r="AW20" s="37"/>
    </row>
    <row r="21" spans="2:49" x14ac:dyDescent="0.3">
      <c r="B21" s="86" t="s">
        <v>92</v>
      </c>
      <c r="C21" s="19" t="s">
        <v>1</v>
      </c>
      <c r="D21" s="45">
        <v>1</v>
      </c>
      <c r="E21" s="45"/>
      <c r="F21" s="46"/>
      <c r="G21" s="45"/>
      <c r="H21" s="45"/>
      <c r="I21" s="45"/>
      <c r="J21" s="45"/>
      <c r="K21" s="46"/>
      <c r="L21" s="45"/>
      <c r="M21" s="45">
        <v>1</v>
      </c>
      <c r="N21" s="45"/>
      <c r="O21" s="45"/>
      <c r="P21" s="45"/>
      <c r="Q21" s="45"/>
      <c r="R21" s="45"/>
      <c r="S21" s="45"/>
      <c r="T21" s="45"/>
      <c r="U21" s="45"/>
      <c r="V21" s="45"/>
      <c r="W21" s="45">
        <v>1</v>
      </c>
      <c r="X21" s="45"/>
      <c r="Y21" s="45"/>
      <c r="Z21" s="45"/>
      <c r="AA21" s="45"/>
      <c r="AB21" s="45"/>
      <c r="AC21" s="45"/>
      <c r="AD21" s="45"/>
      <c r="AE21" s="45"/>
      <c r="AF21" s="45"/>
      <c r="AG21" s="45">
        <v>1</v>
      </c>
      <c r="AH21" s="36"/>
      <c r="AI21" s="36"/>
      <c r="AJ21" s="36"/>
      <c r="AK21" s="36"/>
      <c r="AL21" s="36"/>
      <c r="AM21" s="36"/>
      <c r="AN21" s="36"/>
      <c r="AO21" s="37"/>
      <c r="AP21" s="37"/>
      <c r="AQ21" s="37"/>
      <c r="AR21" s="37"/>
      <c r="AS21" s="37"/>
      <c r="AT21" s="37"/>
      <c r="AU21" s="37"/>
      <c r="AV21" s="37"/>
      <c r="AW21" s="37"/>
    </row>
    <row r="22" spans="2:49" x14ac:dyDescent="0.3">
      <c r="B22" s="86" t="s">
        <v>93</v>
      </c>
      <c r="C22" s="19" t="s">
        <v>1</v>
      </c>
      <c r="D22" s="45">
        <v>1</v>
      </c>
      <c r="E22" s="45"/>
      <c r="F22" s="46">
        <v>1</v>
      </c>
      <c r="G22" s="45"/>
      <c r="H22" s="45">
        <v>1</v>
      </c>
      <c r="I22" s="45"/>
      <c r="J22" s="46">
        <v>1</v>
      </c>
      <c r="K22" s="45"/>
      <c r="L22" s="45">
        <v>1</v>
      </c>
      <c r="M22" s="45"/>
      <c r="N22" s="46">
        <v>1</v>
      </c>
      <c r="O22" s="45"/>
      <c r="P22" s="45">
        <v>1</v>
      </c>
      <c r="Q22" s="45"/>
      <c r="R22" s="46">
        <v>1</v>
      </c>
      <c r="S22" s="45"/>
      <c r="T22" s="45">
        <v>1</v>
      </c>
      <c r="U22" s="45"/>
      <c r="V22" s="46">
        <v>1</v>
      </c>
      <c r="W22" s="45"/>
      <c r="X22" s="45">
        <v>1</v>
      </c>
      <c r="Y22" s="45"/>
      <c r="Z22" s="46">
        <v>1</v>
      </c>
      <c r="AA22" s="45"/>
      <c r="AB22" s="45">
        <v>1</v>
      </c>
      <c r="AC22" s="45"/>
      <c r="AD22" s="46">
        <v>1</v>
      </c>
      <c r="AE22" s="45"/>
      <c r="AF22" s="90">
        <v>1</v>
      </c>
      <c r="AG22" s="49"/>
      <c r="AH22" s="36"/>
      <c r="AI22" s="36"/>
      <c r="AJ22" s="36"/>
      <c r="AK22" s="36"/>
      <c r="AL22" s="36"/>
      <c r="AM22" s="36"/>
      <c r="AN22" s="36"/>
      <c r="AO22" s="37"/>
      <c r="AP22" s="37"/>
      <c r="AQ22" s="37"/>
      <c r="AR22" s="37"/>
      <c r="AS22" s="37"/>
      <c r="AT22" s="37"/>
      <c r="AU22" s="37"/>
      <c r="AV22" s="37"/>
      <c r="AW22" s="37"/>
    </row>
    <row r="23" spans="2:49" x14ac:dyDescent="0.3">
      <c r="B23" s="86" t="s">
        <v>106</v>
      </c>
      <c r="C23" s="19" t="s">
        <v>1</v>
      </c>
      <c r="D23" s="41"/>
      <c r="E23" s="41"/>
      <c r="F23" s="42"/>
      <c r="G23" s="41">
        <v>8</v>
      </c>
      <c r="H23" s="41">
        <v>8</v>
      </c>
      <c r="I23" s="41">
        <v>8</v>
      </c>
      <c r="J23" s="41">
        <v>8</v>
      </c>
      <c r="K23" s="41">
        <v>8</v>
      </c>
      <c r="L23" s="41">
        <v>8</v>
      </c>
      <c r="M23" s="41">
        <v>8</v>
      </c>
      <c r="N23" s="41">
        <v>8</v>
      </c>
      <c r="O23" s="41">
        <v>8</v>
      </c>
      <c r="P23" s="41">
        <v>8</v>
      </c>
      <c r="Q23" s="41">
        <v>8</v>
      </c>
      <c r="R23" s="41">
        <v>8</v>
      </c>
      <c r="S23" s="41">
        <v>8</v>
      </c>
      <c r="T23" s="41">
        <v>8</v>
      </c>
      <c r="U23" s="41">
        <v>8</v>
      </c>
      <c r="V23" s="41">
        <v>8</v>
      </c>
      <c r="W23" s="41">
        <v>8</v>
      </c>
      <c r="X23" s="41">
        <v>8</v>
      </c>
      <c r="Y23" s="41">
        <v>8</v>
      </c>
      <c r="Z23" s="41">
        <v>8</v>
      </c>
      <c r="AA23" s="41">
        <v>8</v>
      </c>
      <c r="AB23" s="41">
        <v>8</v>
      </c>
      <c r="AC23" s="41">
        <v>8</v>
      </c>
      <c r="AD23" s="41">
        <v>8</v>
      </c>
      <c r="AE23" s="41">
        <v>8</v>
      </c>
      <c r="AF23" s="41">
        <v>8</v>
      </c>
      <c r="AG23" s="41">
        <v>8</v>
      </c>
      <c r="AH23" s="36"/>
      <c r="AI23" s="36"/>
      <c r="AJ23" s="36"/>
      <c r="AK23" s="36"/>
      <c r="AL23" s="36"/>
      <c r="AM23" s="36"/>
      <c r="AN23" s="36"/>
      <c r="AO23" s="37"/>
      <c r="AP23" s="37"/>
      <c r="AQ23" s="37"/>
      <c r="AR23" s="37"/>
      <c r="AS23" s="37"/>
      <c r="AT23" s="37"/>
      <c r="AU23" s="37"/>
      <c r="AV23" s="37"/>
      <c r="AW23" s="37"/>
    </row>
    <row r="24" spans="2:49" x14ac:dyDescent="0.3">
      <c r="B24" s="86"/>
      <c r="C24" s="19"/>
      <c r="D24" s="41"/>
      <c r="E24" s="41"/>
      <c r="F24" s="42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36"/>
      <c r="AI24" s="36"/>
      <c r="AJ24" s="36"/>
      <c r="AK24" s="36"/>
      <c r="AL24" s="36"/>
      <c r="AM24" s="36"/>
      <c r="AN24" s="36"/>
      <c r="AO24" s="37"/>
      <c r="AP24" s="37"/>
      <c r="AQ24" s="37"/>
      <c r="AR24" s="37"/>
      <c r="AS24" s="37"/>
      <c r="AT24" s="37"/>
      <c r="AU24" s="37"/>
      <c r="AV24" s="37"/>
      <c r="AW24" s="37"/>
    </row>
    <row r="25" spans="2:49" x14ac:dyDescent="0.3">
      <c r="B25" s="16" t="s">
        <v>37</v>
      </c>
      <c r="C25" s="19"/>
      <c r="D25" s="41"/>
      <c r="E25" s="41"/>
      <c r="F25" s="42"/>
      <c r="G25" s="41"/>
      <c r="H25" s="41"/>
      <c r="I25" s="42"/>
      <c r="J25" s="42"/>
      <c r="K25" s="42"/>
      <c r="L25" s="41"/>
      <c r="M25" s="43"/>
      <c r="N25" s="4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36"/>
      <c r="AI25" s="36"/>
      <c r="AJ25" s="36"/>
      <c r="AK25" s="36"/>
      <c r="AL25" s="36"/>
      <c r="AM25" s="36"/>
      <c r="AN25" s="36"/>
      <c r="AO25" s="37"/>
      <c r="AP25" s="37"/>
      <c r="AQ25" s="37"/>
      <c r="AR25" s="37"/>
      <c r="AS25" s="37"/>
      <c r="AT25" s="37"/>
      <c r="AU25" s="37"/>
      <c r="AV25" s="37"/>
      <c r="AW25" s="37"/>
    </row>
    <row r="26" spans="2:49" x14ac:dyDescent="0.3">
      <c r="B26" s="86" t="s">
        <v>40</v>
      </c>
      <c r="C26" s="19"/>
      <c r="D26" s="41"/>
      <c r="E26" s="41"/>
      <c r="F26" s="42"/>
      <c r="G26" s="41"/>
      <c r="H26" s="41"/>
      <c r="I26" s="42"/>
      <c r="J26" s="42"/>
      <c r="K26" s="42"/>
      <c r="L26" s="41"/>
      <c r="M26" s="43"/>
      <c r="N26" s="4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36"/>
      <c r="AI26" s="36"/>
      <c r="AJ26" s="36"/>
      <c r="AK26" s="36"/>
      <c r="AL26" s="36"/>
      <c r="AM26" s="36"/>
      <c r="AN26" s="36"/>
      <c r="AO26" s="37"/>
      <c r="AP26" s="37"/>
      <c r="AQ26" s="37"/>
      <c r="AR26" s="37"/>
      <c r="AS26" s="37"/>
      <c r="AT26" s="37"/>
      <c r="AU26" s="37"/>
      <c r="AV26" s="37"/>
      <c r="AW26" s="37"/>
    </row>
    <row r="27" spans="2:49" x14ac:dyDescent="0.3">
      <c r="B27" s="91" t="s">
        <v>98</v>
      </c>
      <c r="C27" s="19" t="s">
        <v>41</v>
      </c>
      <c r="D27" s="41">
        <v>24</v>
      </c>
      <c r="E27" s="41"/>
      <c r="F27" s="42"/>
      <c r="G27" s="41"/>
      <c r="H27" s="41"/>
      <c r="I27" s="42"/>
      <c r="J27" s="42"/>
      <c r="K27" s="42"/>
      <c r="L27" s="41"/>
      <c r="M27" s="43"/>
      <c r="N27" s="4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36"/>
      <c r="AI27" s="36"/>
      <c r="AJ27" s="36"/>
      <c r="AK27" s="36"/>
      <c r="AL27" s="36"/>
      <c r="AM27" s="36"/>
      <c r="AN27" s="36"/>
      <c r="AO27" s="37"/>
      <c r="AP27" s="37"/>
      <c r="AQ27" s="37"/>
      <c r="AR27" s="37"/>
      <c r="AS27" s="37"/>
      <c r="AT27" s="37"/>
      <c r="AU27" s="37"/>
      <c r="AV27" s="37"/>
      <c r="AW27" s="37"/>
    </row>
    <row r="28" spans="2:49" x14ac:dyDescent="0.3">
      <c r="B28" s="91" t="s">
        <v>97</v>
      </c>
      <c r="C28" s="19" t="s">
        <v>41</v>
      </c>
      <c r="D28" s="41">
        <f>0.5*2</f>
        <v>1</v>
      </c>
      <c r="E28" s="41"/>
      <c r="F28" s="42"/>
      <c r="G28" s="41"/>
      <c r="H28" s="41"/>
      <c r="I28" s="42"/>
      <c r="J28" s="42"/>
      <c r="K28" s="42"/>
      <c r="L28" s="41"/>
      <c r="M28" s="43"/>
      <c r="N28" s="4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36"/>
      <c r="AI28" s="36"/>
      <c r="AJ28" s="36"/>
      <c r="AK28" s="36"/>
      <c r="AL28" s="36"/>
      <c r="AM28" s="36"/>
      <c r="AN28" s="36"/>
      <c r="AO28" s="37"/>
      <c r="AP28" s="37"/>
      <c r="AQ28" s="37"/>
      <c r="AR28" s="37"/>
      <c r="AS28" s="37"/>
      <c r="AT28" s="37"/>
      <c r="AU28" s="37"/>
      <c r="AV28" s="37"/>
      <c r="AW28" s="37"/>
    </row>
    <row r="29" spans="2:49" x14ac:dyDescent="0.3">
      <c r="B29" s="86" t="s">
        <v>84</v>
      </c>
      <c r="C29" s="19" t="s">
        <v>41</v>
      </c>
      <c r="D29" s="41">
        <v>7</v>
      </c>
      <c r="E29" s="41"/>
      <c r="F29" s="42"/>
      <c r="G29" s="41"/>
      <c r="H29" s="41"/>
      <c r="I29" s="42"/>
      <c r="J29" s="42"/>
      <c r="K29" s="42"/>
      <c r="L29" s="41"/>
      <c r="M29" s="43"/>
      <c r="N29" s="4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7"/>
      <c r="AT29" s="37"/>
      <c r="AU29" s="37"/>
      <c r="AV29" s="37"/>
      <c r="AW29" s="37"/>
    </row>
    <row r="30" spans="2:49" x14ac:dyDescent="0.3">
      <c r="B30" s="86" t="s">
        <v>85</v>
      </c>
      <c r="C30" s="19" t="s">
        <v>41</v>
      </c>
      <c r="D30" s="41"/>
      <c r="E30" s="41">
        <v>3</v>
      </c>
      <c r="F30" s="41">
        <v>3</v>
      </c>
      <c r="G30" s="41">
        <v>3</v>
      </c>
      <c r="H30" s="41">
        <v>3</v>
      </c>
      <c r="I30" s="41">
        <v>3</v>
      </c>
      <c r="J30" s="41">
        <v>3</v>
      </c>
      <c r="K30" s="41">
        <v>3</v>
      </c>
      <c r="L30" s="41">
        <v>3</v>
      </c>
      <c r="M30" s="41">
        <v>3</v>
      </c>
      <c r="N30" s="41">
        <v>3</v>
      </c>
      <c r="O30" s="41">
        <v>3</v>
      </c>
      <c r="P30" s="41">
        <v>3</v>
      </c>
      <c r="Q30" s="41">
        <v>3</v>
      </c>
      <c r="R30" s="41">
        <v>3</v>
      </c>
      <c r="S30" s="41">
        <v>3</v>
      </c>
      <c r="T30" s="41">
        <v>3</v>
      </c>
      <c r="U30" s="41">
        <v>3</v>
      </c>
      <c r="V30" s="41">
        <v>3</v>
      </c>
      <c r="W30" s="41">
        <v>3</v>
      </c>
      <c r="X30" s="41">
        <v>3</v>
      </c>
      <c r="Y30" s="41">
        <v>3</v>
      </c>
      <c r="Z30" s="41">
        <v>3</v>
      </c>
      <c r="AA30" s="41">
        <v>3</v>
      </c>
      <c r="AB30" s="41">
        <v>3</v>
      </c>
      <c r="AC30" s="41">
        <v>3</v>
      </c>
      <c r="AD30" s="41">
        <v>3</v>
      </c>
      <c r="AE30" s="41">
        <v>3</v>
      </c>
      <c r="AF30" s="41">
        <v>3</v>
      </c>
      <c r="AG30" s="41">
        <v>3</v>
      </c>
      <c r="AH30" s="36"/>
      <c r="AI30" s="36"/>
      <c r="AJ30" s="36"/>
      <c r="AK30" s="36"/>
      <c r="AL30" s="36"/>
      <c r="AM30" s="36"/>
      <c r="AN30" s="36"/>
      <c r="AO30" s="37"/>
      <c r="AP30" s="37"/>
      <c r="AQ30" s="37"/>
      <c r="AR30" s="37"/>
      <c r="AS30" s="37"/>
      <c r="AT30" s="37"/>
      <c r="AU30" s="37"/>
      <c r="AV30" s="37"/>
      <c r="AW30" s="37"/>
    </row>
    <row r="31" spans="2:49" x14ac:dyDescent="0.3">
      <c r="B31" s="86" t="s">
        <v>109</v>
      </c>
      <c r="C31" s="19" t="s">
        <v>41</v>
      </c>
      <c r="D31" s="41">
        <f>D14/20</f>
        <v>6.5</v>
      </c>
      <c r="E31" s="41"/>
      <c r="F31" s="42"/>
      <c r="G31" s="41"/>
      <c r="H31" s="41"/>
      <c r="I31" s="42"/>
      <c r="J31" s="42"/>
      <c r="K31" s="42"/>
      <c r="L31" s="41"/>
      <c r="M31" s="43"/>
      <c r="N31" s="4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7"/>
      <c r="AT31" s="37"/>
      <c r="AU31" s="37"/>
      <c r="AV31" s="37"/>
      <c r="AW31" s="37"/>
    </row>
    <row r="32" spans="2:49" x14ac:dyDescent="0.3">
      <c r="B32" s="86" t="s">
        <v>82</v>
      </c>
      <c r="C32" s="19" t="s">
        <v>41</v>
      </c>
      <c r="D32" s="45">
        <f>2*3</f>
        <v>6</v>
      </c>
      <c r="E32" s="45">
        <f t="shared" ref="E32:AG32" si="2">2*3</f>
        <v>6</v>
      </c>
      <c r="F32" s="45">
        <f t="shared" si="2"/>
        <v>6</v>
      </c>
      <c r="G32" s="45">
        <f t="shared" si="2"/>
        <v>6</v>
      </c>
      <c r="H32" s="45">
        <f t="shared" si="2"/>
        <v>6</v>
      </c>
      <c r="I32" s="45">
        <f t="shared" si="2"/>
        <v>6</v>
      </c>
      <c r="J32" s="45">
        <f t="shared" si="2"/>
        <v>6</v>
      </c>
      <c r="K32" s="45">
        <f t="shared" si="2"/>
        <v>6</v>
      </c>
      <c r="L32" s="45">
        <f t="shared" si="2"/>
        <v>6</v>
      </c>
      <c r="M32" s="45">
        <f t="shared" si="2"/>
        <v>6</v>
      </c>
      <c r="N32" s="45">
        <f t="shared" si="2"/>
        <v>6</v>
      </c>
      <c r="O32" s="45">
        <f t="shared" si="2"/>
        <v>6</v>
      </c>
      <c r="P32" s="45">
        <f t="shared" si="2"/>
        <v>6</v>
      </c>
      <c r="Q32" s="45">
        <f t="shared" si="2"/>
        <v>6</v>
      </c>
      <c r="R32" s="45">
        <f t="shared" si="2"/>
        <v>6</v>
      </c>
      <c r="S32" s="45">
        <f t="shared" si="2"/>
        <v>6</v>
      </c>
      <c r="T32" s="45">
        <f t="shared" si="2"/>
        <v>6</v>
      </c>
      <c r="U32" s="45">
        <f t="shared" si="2"/>
        <v>6</v>
      </c>
      <c r="V32" s="45">
        <f t="shared" si="2"/>
        <v>6</v>
      </c>
      <c r="W32" s="45">
        <f t="shared" si="2"/>
        <v>6</v>
      </c>
      <c r="X32" s="45">
        <f t="shared" si="2"/>
        <v>6</v>
      </c>
      <c r="Y32" s="45">
        <f t="shared" si="2"/>
        <v>6</v>
      </c>
      <c r="Z32" s="45">
        <f t="shared" si="2"/>
        <v>6</v>
      </c>
      <c r="AA32" s="45">
        <f t="shared" si="2"/>
        <v>6</v>
      </c>
      <c r="AB32" s="45">
        <f t="shared" si="2"/>
        <v>6</v>
      </c>
      <c r="AC32" s="45">
        <f t="shared" si="2"/>
        <v>6</v>
      </c>
      <c r="AD32" s="45">
        <f t="shared" si="2"/>
        <v>6</v>
      </c>
      <c r="AE32" s="45">
        <f t="shared" si="2"/>
        <v>6</v>
      </c>
      <c r="AF32" s="45">
        <f t="shared" si="2"/>
        <v>6</v>
      </c>
      <c r="AG32" s="45">
        <f t="shared" si="2"/>
        <v>6</v>
      </c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7"/>
      <c r="AT32" s="37"/>
      <c r="AU32" s="37"/>
      <c r="AV32" s="37"/>
      <c r="AW32" s="37"/>
    </row>
    <row r="33" spans="1:49" x14ac:dyDescent="0.3">
      <c r="B33" s="86" t="s">
        <v>83</v>
      </c>
      <c r="C33" s="19" t="s">
        <v>41</v>
      </c>
      <c r="D33" s="45">
        <v>3</v>
      </c>
      <c r="E33" s="45">
        <v>3</v>
      </c>
      <c r="F33" s="45">
        <v>3</v>
      </c>
      <c r="G33" s="45">
        <v>3</v>
      </c>
      <c r="H33" s="45">
        <v>3</v>
      </c>
      <c r="I33" s="45">
        <v>3</v>
      </c>
      <c r="J33" s="45">
        <v>3</v>
      </c>
      <c r="K33" s="45">
        <v>3</v>
      </c>
      <c r="L33" s="45">
        <v>3</v>
      </c>
      <c r="M33" s="45">
        <v>3</v>
      </c>
      <c r="N33" s="45">
        <v>3</v>
      </c>
      <c r="O33" s="45">
        <v>3</v>
      </c>
      <c r="P33" s="45">
        <v>3</v>
      </c>
      <c r="Q33" s="45">
        <v>3</v>
      </c>
      <c r="R33" s="45">
        <v>3</v>
      </c>
      <c r="S33" s="45">
        <v>3</v>
      </c>
      <c r="T33" s="45">
        <v>3</v>
      </c>
      <c r="U33" s="45">
        <v>3</v>
      </c>
      <c r="V33" s="45">
        <v>3</v>
      </c>
      <c r="W33" s="45">
        <v>3</v>
      </c>
      <c r="X33" s="45">
        <v>3</v>
      </c>
      <c r="Y33" s="45">
        <v>3</v>
      </c>
      <c r="Z33" s="45">
        <v>3</v>
      </c>
      <c r="AA33" s="45">
        <v>3</v>
      </c>
      <c r="AB33" s="45">
        <v>3</v>
      </c>
      <c r="AC33" s="45">
        <v>3</v>
      </c>
      <c r="AD33" s="45">
        <v>3</v>
      </c>
      <c r="AE33" s="45">
        <v>3</v>
      </c>
      <c r="AF33" s="45">
        <v>3</v>
      </c>
      <c r="AG33" s="45">
        <v>3</v>
      </c>
      <c r="AH33" s="36"/>
      <c r="AI33" s="36"/>
      <c r="AJ33" s="36"/>
      <c r="AK33" s="36"/>
      <c r="AL33" s="36"/>
      <c r="AM33" s="36"/>
      <c r="AN33" s="36"/>
      <c r="AO33" s="37"/>
      <c r="AP33" s="37"/>
      <c r="AQ33" s="37"/>
      <c r="AR33" s="37"/>
      <c r="AS33" s="37"/>
      <c r="AT33" s="37"/>
      <c r="AU33" s="37"/>
      <c r="AV33" s="37"/>
      <c r="AW33" s="37"/>
    </row>
    <row r="34" spans="1:49" x14ac:dyDescent="0.3">
      <c r="B34" s="86" t="s">
        <v>104</v>
      </c>
      <c r="C34" s="19" t="s">
        <v>41</v>
      </c>
      <c r="D34" s="45"/>
      <c r="E34" s="41"/>
      <c r="F34" s="42"/>
      <c r="G34" s="41">
        <f>G40</f>
        <v>0</v>
      </c>
      <c r="H34" s="41">
        <f t="shared" ref="H34" si="3">H40</f>
        <v>0</v>
      </c>
      <c r="I34" s="41">
        <f>(I40*500)/60000</f>
        <v>29.166666666666668</v>
      </c>
      <c r="J34" s="41">
        <f t="shared" ref="J34:AG34" si="4">(J40*500)/60000</f>
        <v>29.166666666666668</v>
      </c>
      <c r="K34" s="41">
        <f t="shared" si="4"/>
        <v>29.166666666666668</v>
      </c>
      <c r="L34" s="41">
        <f t="shared" si="4"/>
        <v>62.5</v>
      </c>
      <c r="M34" s="41">
        <f t="shared" si="4"/>
        <v>62.5</v>
      </c>
      <c r="N34" s="41">
        <f t="shared" si="4"/>
        <v>83.333333333333329</v>
      </c>
      <c r="O34" s="41">
        <f t="shared" si="4"/>
        <v>83.333333333333329</v>
      </c>
      <c r="P34" s="41">
        <f t="shared" si="4"/>
        <v>83.333333333333329</v>
      </c>
      <c r="Q34" s="41">
        <f t="shared" si="4"/>
        <v>83.333333333333329</v>
      </c>
      <c r="R34" s="41">
        <f t="shared" si="4"/>
        <v>83.333333333333329</v>
      </c>
      <c r="S34" s="41">
        <f t="shared" si="4"/>
        <v>83.333333333333329</v>
      </c>
      <c r="T34" s="41">
        <f t="shared" si="4"/>
        <v>83.333333333333329</v>
      </c>
      <c r="U34" s="41">
        <f t="shared" si="4"/>
        <v>83.333333333333329</v>
      </c>
      <c r="V34" s="41">
        <f t="shared" si="4"/>
        <v>83.333333333333329</v>
      </c>
      <c r="W34" s="41">
        <f t="shared" si="4"/>
        <v>83.333333333333329</v>
      </c>
      <c r="X34" s="41">
        <f t="shared" si="4"/>
        <v>41.666666666666664</v>
      </c>
      <c r="Y34" s="41">
        <f t="shared" si="4"/>
        <v>41.666666666666664</v>
      </c>
      <c r="Z34" s="41">
        <f t="shared" si="4"/>
        <v>41.666666666666664</v>
      </c>
      <c r="AA34" s="41">
        <f t="shared" si="4"/>
        <v>41.666666666666664</v>
      </c>
      <c r="AB34" s="41">
        <f t="shared" si="4"/>
        <v>41.666666666666664</v>
      </c>
      <c r="AC34" s="41">
        <f t="shared" si="4"/>
        <v>41.666666666666664</v>
      </c>
      <c r="AD34" s="41">
        <f t="shared" si="4"/>
        <v>41.666666666666664</v>
      </c>
      <c r="AE34" s="41">
        <f t="shared" si="4"/>
        <v>41.666666666666664</v>
      </c>
      <c r="AF34" s="41">
        <f t="shared" si="4"/>
        <v>41.666666666666664</v>
      </c>
      <c r="AG34" s="41">
        <f t="shared" si="4"/>
        <v>41.666666666666664</v>
      </c>
      <c r="AH34" s="36"/>
      <c r="AI34" s="36"/>
      <c r="AJ34" s="36"/>
      <c r="AK34" s="36"/>
      <c r="AL34" s="36"/>
      <c r="AM34" s="36"/>
      <c r="AN34" s="36"/>
      <c r="AO34" s="37"/>
      <c r="AP34" s="37"/>
      <c r="AQ34" s="37"/>
      <c r="AR34" s="37"/>
      <c r="AS34" s="37"/>
      <c r="AT34" s="37"/>
      <c r="AU34" s="37"/>
      <c r="AV34" s="37"/>
      <c r="AW34" s="37"/>
    </row>
    <row r="35" spans="1:49" x14ac:dyDescent="0.3">
      <c r="B35" s="86" t="s">
        <v>107</v>
      </c>
      <c r="C35" s="19" t="s">
        <v>41</v>
      </c>
      <c r="D35" s="45"/>
      <c r="E35" s="41"/>
      <c r="F35" s="42"/>
      <c r="G35" s="41">
        <f>G40/4000</f>
        <v>0</v>
      </c>
      <c r="H35" s="41">
        <f t="shared" ref="H35:AG35" si="5">H40/4000</f>
        <v>0</v>
      </c>
      <c r="I35" s="41">
        <f t="shared" si="5"/>
        <v>0.875</v>
      </c>
      <c r="J35" s="41">
        <f t="shared" si="5"/>
        <v>0.875</v>
      </c>
      <c r="K35" s="41">
        <f t="shared" si="5"/>
        <v>0.875</v>
      </c>
      <c r="L35" s="41">
        <f t="shared" si="5"/>
        <v>1.875</v>
      </c>
      <c r="M35" s="41">
        <f t="shared" si="5"/>
        <v>1.875</v>
      </c>
      <c r="N35" s="41">
        <f t="shared" si="5"/>
        <v>2.5</v>
      </c>
      <c r="O35" s="41">
        <f t="shared" si="5"/>
        <v>2.5</v>
      </c>
      <c r="P35" s="41">
        <f t="shared" si="5"/>
        <v>2.5</v>
      </c>
      <c r="Q35" s="41">
        <f t="shared" si="5"/>
        <v>2.5</v>
      </c>
      <c r="R35" s="41">
        <f t="shared" si="5"/>
        <v>2.5</v>
      </c>
      <c r="S35" s="41">
        <f t="shared" si="5"/>
        <v>2.5</v>
      </c>
      <c r="T35" s="41">
        <f t="shared" si="5"/>
        <v>2.5</v>
      </c>
      <c r="U35" s="41">
        <f t="shared" si="5"/>
        <v>2.5</v>
      </c>
      <c r="V35" s="41">
        <f t="shared" si="5"/>
        <v>2.5</v>
      </c>
      <c r="W35" s="41">
        <f t="shared" si="5"/>
        <v>2.5</v>
      </c>
      <c r="X35" s="41">
        <f t="shared" si="5"/>
        <v>1.25</v>
      </c>
      <c r="Y35" s="41">
        <f t="shared" si="5"/>
        <v>1.25</v>
      </c>
      <c r="Z35" s="41">
        <f t="shared" si="5"/>
        <v>1.25</v>
      </c>
      <c r="AA35" s="41">
        <f t="shared" si="5"/>
        <v>1.25</v>
      </c>
      <c r="AB35" s="41">
        <f t="shared" si="5"/>
        <v>1.25</v>
      </c>
      <c r="AC35" s="41">
        <f t="shared" si="5"/>
        <v>1.25</v>
      </c>
      <c r="AD35" s="41">
        <f t="shared" si="5"/>
        <v>1.25</v>
      </c>
      <c r="AE35" s="41">
        <f t="shared" si="5"/>
        <v>1.25</v>
      </c>
      <c r="AF35" s="41">
        <f t="shared" si="5"/>
        <v>1.25</v>
      </c>
      <c r="AG35" s="41">
        <f t="shared" si="5"/>
        <v>1.25</v>
      </c>
      <c r="AH35" s="36"/>
      <c r="AI35" s="36"/>
      <c r="AJ35" s="36"/>
      <c r="AK35" s="36"/>
      <c r="AL35" s="36"/>
      <c r="AM35" s="36"/>
      <c r="AN35" s="36"/>
      <c r="AO35" s="37"/>
      <c r="AP35" s="37"/>
      <c r="AQ35" s="37"/>
      <c r="AR35" s="37"/>
      <c r="AS35" s="37"/>
      <c r="AT35" s="37"/>
      <c r="AU35" s="37"/>
      <c r="AV35" s="37"/>
      <c r="AW35" s="37"/>
    </row>
    <row r="36" spans="1:49" x14ac:dyDescent="0.3">
      <c r="B36" s="91"/>
      <c r="C36" s="19"/>
      <c r="D36" s="45"/>
      <c r="E36" s="41"/>
      <c r="F36" s="42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36"/>
      <c r="AI36" s="36"/>
      <c r="AJ36" s="36"/>
      <c r="AK36" s="36"/>
      <c r="AL36" s="36"/>
      <c r="AM36" s="36"/>
      <c r="AN36" s="36"/>
      <c r="AO36" s="37"/>
      <c r="AP36" s="37"/>
      <c r="AQ36" s="37"/>
      <c r="AR36" s="37"/>
      <c r="AS36" s="37"/>
      <c r="AT36" s="37"/>
      <c r="AU36" s="37"/>
      <c r="AV36" s="37"/>
      <c r="AW36" s="37"/>
    </row>
    <row r="37" spans="1:49" x14ac:dyDescent="0.3">
      <c r="B37" s="91"/>
      <c r="C37" s="19"/>
      <c r="D37" s="45"/>
      <c r="E37" s="41"/>
      <c r="F37" s="42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36"/>
      <c r="AI37" s="36"/>
      <c r="AJ37" s="36"/>
      <c r="AK37" s="36"/>
      <c r="AL37" s="36"/>
      <c r="AM37" s="36"/>
      <c r="AN37" s="36"/>
      <c r="AO37" s="37"/>
      <c r="AP37" s="37"/>
      <c r="AQ37" s="37"/>
      <c r="AR37" s="37"/>
      <c r="AS37" s="37"/>
      <c r="AT37" s="37"/>
      <c r="AU37" s="37"/>
      <c r="AV37" s="37"/>
      <c r="AW37" s="37"/>
    </row>
    <row r="38" spans="1:49" x14ac:dyDescent="0.3">
      <c r="B38" s="18"/>
      <c r="C38" s="19"/>
      <c r="D38" s="41"/>
      <c r="E38" s="41"/>
      <c r="F38" s="42"/>
      <c r="G38" s="41"/>
      <c r="H38" s="41"/>
      <c r="I38" s="42"/>
      <c r="J38" s="42"/>
      <c r="K38" s="42"/>
      <c r="L38" s="41"/>
      <c r="M38" s="43"/>
      <c r="N38" s="4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36"/>
      <c r="AI38" s="36"/>
      <c r="AJ38" s="36"/>
      <c r="AK38" s="36"/>
      <c r="AL38" s="36"/>
      <c r="AM38" s="36"/>
      <c r="AN38" s="36"/>
      <c r="AO38" s="37"/>
      <c r="AP38" s="37"/>
      <c r="AQ38" s="37"/>
      <c r="AR38" s="37"/>
      <c r="AS38" s="37"/>
      <c r="AT38" s="37"/>
      <c r="AU38" s="37"/>
      <c r="AV38" s="37"/>
      <c r="AW38" s="37"/>
    </row>
    <row r="39" spans="1:49" x14ac:dyDescent="0.3">
      <c r="B39" s="53" t="s">
        <v>27</v>
      </c>
      <c r="C39" s="52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36"/>
      <c r="AI39" s="36"/>
      <c r="AJ39" s="36"/>
      <c r="AK39" s="36"/>
      <c r="AL39" s="36"/>
      <c r="AM39" s="36"/>
      <c r="AN39" s="36"/>
      <c r="AO39" s="37"/>
      <c r="AP39" s="37"/>
      <c r="AQ39" s="37"/>
      <c r="AR39" s="37"/>
      <c r="AS39" s="37"/>
      <c r="AT39" s="37"/>
      <c r="AU39" s="37"/>
      <c r="AV39" s="37"/>
      <c r="AW39" s="37"/>
    </row>
    <row r="40" spans="1:49" x14ac:dyDescent="0.3">
      <c r="B40" s="18" t="s">
        <v>87</v>
      </c>
      <c r="C40" s="19" t="s">
        <v>91</v>
      </c>
      <c r="D40" s="42">
        <f>FieldData!C8</f>
        <v>0</v>
      </c>
      <c r="E40" s="42">
        <f>FieldData!D8</f>
        <v>0</v>
      </c>
      <c r="F40" s="42">
        <f>FieldData!E8</f>
        <v>0</v>
      </c>
      <c r="G40" s="42">
        <f>FieldData!F8</f>
        <v>0</v>
      </c>
      <c r="H40" s="42">
        <f>FieldData!G8</f>
        <v>0</v>
      </c>
      <c r="I40" s="42">
        <f>FieldData!H8</f>
        <v>3500</v>
      </c>
      <c r="J40" s="42">
        <f>FieldData!I8</f>
        <v>3500</v>
      </c>
      <c r="K40" s="42">
        <f>FieldData!J8</f>
        <v>3500</v>
      </c>
      <c r="L40" s="42">
        <f>FieldData!K8</f>
        <v>7500</v>
      </c>
      <c r="M40" s="42">
        <f>FieldData!L8</f>
        <v>7500</v>
      </c>
      <c r="N40" s="42">
        <f>FieldData!M8</f>
        <v>10000</v>
      </c>
      <c r="O40" s="42">
        <f>FieldData!N8</f>
        <v>10000</v>
      </c>
      <c r="P40" s="42">
        <f>FieldData!O8</f>
        <v>10000</v>
      </c>
      <c r="Q40" s="42">
        <f>FieldData!P8</f>
        <v>10000</v>
      </c>
      <c r="R40" s="42">
        <f>FieldData!Q8</f>
        <v>10000</v>
      </c>
      <c r="S40" s="42">
        <f>FieldData!R8</f>
        <v>10000</v>
      </c>
      <c r="T40" s="42">
        <f>FieldData!S8</f>
        <v>10000</v>
      </c>
      <c r="U40" s="42">
        <f>FieldData!T8</f>
        <v>10000</v>
      </c>
      <c r="V40" s="42">
        <f>FieldData!U8</f>
        <v>10000</v>
      </c>
      <c r="W40" s="42">
        <f>FieldData!V8</f>
        <v>10000</v>
      </c>
      <c r="X40" s="42">
        <f>FieldData!W8</f>
        <v>5000</v>
      </c>
      <c r="Y40" s="42">
        <f>FieldData!X8</f>
        <v>5000</v>
      </c>
      <c r="Z40" s="42">
        <f>FieldData!Y8</f>
        <v>5000</v>
      </c>
      <c r="AA40" s="42">
        <f>FieldData!Z8</f>
        <v>5000</v>
      </c>
      <c r="AB40" s="42">
        <f>FieldData!AA8</f>
        <v>5000</v>
      </c>
      <c r="AC40" s="42">
        <f>FieldData!AB8</f>
        <v>5000</v>
      </c>
      <c r="AD40" s="42">
        <f>FieldData!AC8</f>
        <v>5000</v>
      </c>
      <c r="AE40" s="42">
        <f>FieldData!AD8</f>
        <v>5000</v>
      </c>
      <c r="AF40" s="42">
        <f>FieldData!AE8</f>
        <v>5000</v>
      </c>
      <c r="AG40" s="42">
        <f>FieldData!AF8</f>
        <v>5000</v>
      </c>
      <c r="AH40" s="3"/>
      <c r="AI40" s="36"/>
      <c r="AJ40" s="7"/>
      <c r="AK40" s="3"/>
      <c r="AL40" s="3"/>
      <c r="AM40" s="3"/>
      <c r="AN40" s="3"/>
    </row>
    <row r="41" spans="1:49" x14ac:dyDescent="0.3">
      <c r="B41" s="18"/>
      <c r="C41" s="19"/>
      <c r="D41" s="42"/>
      <c r="E41" s="41"/>
      <c r="F41" s="41"/>
      <c r="G41" s="41"/>
      <c r="H41" s="41"/>
      <c r="I41" s="41"/>
      <c r="J41" s="29"/>
      <c r="K41" s="29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3"/>
      <c r="AI41" s="36"/>
      <c r="AJ41" s="7"/>
      <c r="AK41" s="3"/>
      <c r="AL41" s="3"/>
      <c r="AM41" s="3"/>
      <c r="AN41" s="3"/>
    </row>
    <row r="42" spans="1:49" x14ac:dyDescent="0.3">
      <c r="B42" s="18" t="s">
        <v>111</v>
      </c>
      <c r="C42" s="19"/>
      <c r="D42" s="42"/>
      <c r="E42" s="41"/>
      <c r="F42" s="41"/>
      <c r="G42" s="41"/>
      <c r="H42" s="41"/>
      <c r="I42" s="41"/>
      <c r="J42" s="29"/>
      <c r="K42" s="29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3"/>
      <c r="AI42" s="36"/>
      <c r="AJ42" s="7"/>
      <c r="AK42" s="3"/>
      <c r="AL42" s="3"/>
      <c r="AM42" s="3"/>
      <c r="AN42" s="3"/>
    </row>
    <row r="43" spans="1:49" x14ac:dyDescent="0.3">
      <c r="B43" s="35" t="s">
        <v>90</v>
      </c>
      <c r="C43" s="19" t="s">
        <v>168</v>
      </c>
      <c r="D43" s="41">
        <f>D40/3</f>
        <v>0</v>
      </c>
      <c r="E43" s="41">
        <f t="shared" ref="E43:AG43" si="6">E40/3</f>
        <v>0</v>
      </c>
      <c r="F43" s="41">
        <f t="shared" si="6"/>
        <v>0</v>
      </c>
      <c r="G43" s="41">
        <f t="shared" si="6"/>
        <v>0</v>
      </c>
      <c r="H43" s="41">
        <f t="shared" si="6"/>
        <v>0</v>
      </c>
      <c r="I43" s="41">
        <f t="shared" si="6"/>
        <v>1166.6666666666667</v>
      </c>
      <c r="J43" s="41">
        <f t="shared" si="6"/>
        <v>1166.6666666666667</v>
      </c>
      <c r="K43" s="41">
        <f t="shared" si="6"/>
        <v>1166.6666666666667</v>
      </c>
      <c r="L43" s="41">
        <f t="shared" si="6"/>
        <v>2500</v>
      </c>
      <c r="M43" s="41">
        <f t="shared" si="6"/>
        <v>2500</v>
      </c>
      <c r="N43" s="41">
        <f t="shared" si="6"/>
        <v>3333.3333333333335</v>
      </c>
      <c r="O43" s="41">
        <f t="shared" si="6"/>
        <v>3333.3333333333335</v>
      </c>
      <c r="P43" s="41">
        <f t="shared" si="6"/>
        <v>3333.3333333333335</v>
      </c>
      <c r="Q43" s="41">
        <f t="shared" si="6"/>
        <v>3333.3333333333335</v>
      </c>
      <c r="R43" s="41">
        <f t="shared" si="6"/>
        <v>3333.3333333333335</v>
      </c>
      <c r="S43" s="41">
        <f t="shared" si="6"/>
        <v>3333.3333333333335</v>
      </c>
      <c r="T43" s="41">
        <f t="shared" si="6"/>
        <v>3333.3333333333335</v>
      </c>
      <c r="U43" s="41">
        <f t="shared" si="6"/>
        <v>3333.3333333333335</v>
      </c>
      <c r="V43" s="41">
        <f t="shared" si="6"/>
        <v>3333.3333333333335</v>
      </c>
      <c r="W43" s="41">
        <f t="shared" si="6"/>
        <v>3333.3333333333335</v>
      </c>
      <c r="X43" s="41">
        <f t="shared" si="6"/>
        <v>1666.6666666666667</v>
      </c>
      <c r="Y43" s="41">
        <f t="shared" si="6"/>
        <v>1666.6666666666667</v>
      </c>
      <c r="Z43" s="41">
        <f t="shared" si="6"/>
        <v>1666.6666666666667</v>
      </c>
      <c r="AA43" s="41">
        <f t="shared" si="6"/>
        <v>1666.6666666666667</v>
      </c>
      <c r="AB43" s="41">
        <f t="shared" si="6"/>
        <v>1666.6666666666667</v>
      </c>
      <c r="AC43" s="41">
        <f t="shared" si="6"/>
        <v>1666.6666666666667</v>
      </c>
      <c r="AD43" s="41">
        <f t="shared" si="6"/>
        <v>1666.6666666666667</v>
      </c>
      <c r="AE43" s="41">
        <f t="shared" si="6"/>
        <v>1666.6666666666667</v>
      </c>
      <c r="AF43" s="41">
        <f t="shared" si="6"/>
        <v>1666.6666666666667</v>
      </c>
      <c r="AG43" s="41">
        <f t="shared" si="6"/>
        <v>1666.6666666666667</v>
      </c>
      <c r="AH43" s="3"/>
      <c r="AI43" s="36"/>
      <c r="AJ43" s="7"/>
      <c r="AK43" s="3"/>
      <c r="AL43" s="3"/>
      <c r="AM43" s="3"/>
      <c r="AN43" s="3"/>
    </row>
    <row r="44" spans="1:49" ht="15.75" customHeight="1" x14ac:dyDescent="0.3">
      <c r="B44" s="35"/>
      <c r="C44" s="19"/>
      <c r="D44" s="42"/>
      <c r="E44" s="41"/>
      <c r="F44" s="41"/>
      <c r="G44" s="41"/>
      <c r="H44" s="41"/>
      <c r="I44" s="41"/>
      <c r="J44" s="29"/>
      <c r="K44" s="29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3"/>
      <c r="AI44" s="36"/>
      <c r="AJ44" s="7"/>
      <c r="AK44" s="3"/>
      <c r="AL44" s="3"/>
      <c r="AM44" s="3"/>
      <c r="AN44" s="3"/>
    </row>
    <row r="45" spans="1:49" x14ac:dyDescent="0.3">
      <c r="C45" s="6"/>
    </row>
    <row r="46" spans="1:49" s="87" customFormat="1" x14ac:dyDescent="0.3">
      <c r="D46" s="39"/>
      <c r="E46" s="39"/>
      <c r="F46" s="39"/>
      <c r="G46" s="39"/>
      <c r="H46" s="39"/>
      <c r="I46" s="39"/>
      <c r="J46" s="39"/>
      <c r="K46" s="39"/>
      <c r="L46" s="39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39"/>
      <c r="AD46" s="39"/>
      <c r="AE46" s="39"/>
      <c r="AF46" s="39"/>
      <c r="AG46" s="39"/>
      <c r="AH46" s="88"/>
      <c r="AI46" s="88"/>
      <c r="AJ46" s="88"/>
      <c r="AK46" s="88"/>
      <c r="AL46" s="88"/>
      <c r="AM46" s="88"/>
      <c r="AN46" s="88"/>
    </row>
    <row r="47" spans="1:49" s="87" customFormat="1" x14ac:dyDescent="0.3">
      <c r="B47" s="87" t="s">
        <v>75</v>
      </c>
      <c r="C47" s="51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8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88"/>
      <c r="AI47" s="88"/>
      <c r="AJ47" s="88"/>
      <c r="AK47" s="88"/>
      <c r="AL47" s="88"/>
      <c r="AM47" s="88"/>
      <c r="AN47" s="88"/>
    </row>
    <row r="48" spans="1:49" s="87" customFormat="1" x14ac:dyDescent="0.3">
      <c r="A48" s="87">
        <v>1</v>
      </c>
      <c r="B48" s="87" t="s">
        <v>102</v>
      </c>
      <c r="C48" s="51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8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88"/>
      <c r="AI48" s="88"/>
      <c r="AJ48" s="88"/>
      <c r="AK48" s="88"/>
      <c r="AL48" s="88"/>
      <c r="AM48" s="88"/>
      <c r="AN48" s="88"/>
    </row>
    <row r="49" spans="1:40" s="87" customFormat="1" x14ac:dyDescent="0.3">
      <c r="A49" s="87">
        <v>2</v>
      </c>
      <c r="B49" s="87" t="s">
        <v>121</v>
      </c>
      <c r="C49" s="51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8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88"/>
      <c r="AI49" s="88"/>
      <c r="AJ49" s="88"/>
      <c r="AK49" s="88"/>
      <c r="AL49" s="88"/>
      <c r="AM49" s="88"/>
      <c r="AN49" s="88"/>
    </row>
    <row r="50" spans="1:40" s="87" customFormat="1" x14ac:dyDescent="0.3">
      <c r="A50" s="87">
        <v>3</v>
      </c>
      <c r="B50" s="87" t="s">
        <v>115</v>
      </c>
      <c r="C50" s="51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8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88"/>
      <c r="AI50" s="88"/>
      <c r="AJ50" s="88"/>
      <c r="AK50" s="88"/>
      <c r="AL50" s="88"/>
      <c r="AM50" s="88"/>
      <c r="AN50" s="88"/>
    </row>
    <row r="51" spans="1:40" s="87" customFormat="1" x14ac:dyDescent="0.3">
      <c r="A51" s="87">
        <v>4</v>
      </c>
      <c r="B51" s="87" t="s">
        <v>103</v>
      </c>
      <c r="C51" s="51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8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88"/>
      <c r="AI51" s="88"/>
      <c r="AJ51" s="88"/>
      <c r="AK51" s="88"/>
      <c r="AL51" s="88"/>
      <c r="AM51" s="88"/>
      <c r="AN51" s="88"/>
    </row>
    <row r="52" spans="1:40" s="87" customFormat="1" x14ac:dyDescent="0.3">
      <c r="A52" s="87">
        <v>5</v>
      </c>
      <c r="B52" s="87" t="s">
        <v>105</v>
      </c>
      <c r="C52" s="51"/>
      <c r="D52" s="39"/>
      <c r="E52" s="39"/>
      <c r="F52" s="51"/>
      <c r="G52" s="51"/>
      <c r="H52" s="51"/>
      <c r="I52" s="51"/>
      <c r="J52" s="51"/>
      <c r="K52" s="51"/>
      <c r="L52" s="51"/>
      <c r="M52" s="89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</row>
    <row r="53" spans="1:40" s="87" customFormat="1" x14ac:dyDescent="0.3">
      <c r="A53" s="87">
        <v>6</v>
      </c>
      <c r="B53" s="99" t="s">
        <v>122</v>
      </c>
      <c r="C53" s="51"/>
      <c r="D53" s="39"/>
      <c r="E53" s="39"/>
      <c r="F53" s="51"/>
      <c r="G53" s="51"/>
      <c r="H53" s="51"/>
      <c r="I53" s="51"/>
      <c r="J53" s="51"/>
      <c r="K53" s="51"/>
      <c r="L53" s="51"/>
      <c r="M53" s="89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</row>
    <row r="54" spans="1:40" s="87" customFormat="1" x14ac:dyDescent="0.3">
      <c r="A54" s="87">
        <v>7</v>
      </c>
      <c r="B54" s="95" t="s">
        <v>108</v>
      </c>
      <c r="C54" s="51"/>
      <c r="D54" s="39"/>
      <c r="E54" s="39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</row>
    <row r="55" spans="1:40" s="87" customFormat="1" x14ac:dyDescent="0.3">
      <c r="A55" s="87">
        <v>8</v>
      </c>
      <c r="B55" s="87" t="s">
        <v>113</v>
      </c>
      <c r="C55" s="51"/>
      <c r="D55" s="98">
        <f>4000/300</f>
        <v>13.333333333333334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88"/>
      <c r="AI55" s="88"/>
      <c r="AJ55" s="88"/>
      <c r="AK55" s="88"/>
      <c r="AL55" s="88"/>
      <c r="AM55" s="88"/>
      <c r="AN55" s="88"/>
    </row>
    <row r="56" spans="1:40" s="87" customFormat="1" x14ac:dyDescent="0.3">
      <c r="C56" s="51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88"/>
      <c r="AI56" s="88"/>
      <c r="AJ56" s="88"/>
      <c r="AK56" s="88"/>
      <c r="AL56" s="88"/>
      <c r="AM56" s="88"/>
      <c r="AN56" s="88"/>
    </row>
  </sheetData>
  <mergeCells count="32">
    <mergeCell ref="B4:B6"/>
    <mergeCell ref="F4:F5"/>
    <mergeCell ref="C4:C5"/>
    <mergeCell ref="D4:D5"/>
    <mergeCell ref="E4:E5"/>
    <mergeCell ref="R4:R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P4:P5"/>
    <mergeCell ref="Q4:Q5"/>
    <mergeCell ref="AB4:AB5"/>
    <mergeCell ref="V4:V5"/>
    <mergeCell ref="W4:W5"/>
    <mergeCell ref="X4:X5"/>
    <mergeCell ref="Y4:Y5"/>
    <mergeCell ref="S4:S5"/>
    <mergeCell ref="T4:T5"/>
    <mergeCell ref="U4:U5"/>
    <mergeCell ref="Z4:Z5"/>
    <mergeCell ref="AA4:AA5"/>
    <mergeCell ref="AG4:AG5"/>
    <mergeCell ref="AC4:AC5"/>
    <mergeCell ref="AD4:AD5"/>
    <mergeCell ref="AE4:AE5"/>
    <mergeCell ref="AF4:AF5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H21"/>
  <sheetViews>
    <sheetView tabSelected="1" workbookViewId="0">
      <selection sqref="A1:XFD1"/>
    </sheetView>
  </sheetViews>
  <sheetFormatPr defaultRowHeight="13.2" x14ac:dyDescent="0.25"/>
  <cols>
    <col min="2" max="2" width="12.21875" bestFit="1" customWidth="1"/>
    <col min="3" max="3" width="22.5546875" bestFit="1" customWidth="1"/>
  </cols>
  <sheetData>
    <row r="1" spans="1:34" x14ac:dyDescent="0.25">
      <c r="A1" t="s">
        <v>169</v>
      </c>
      <c r="B1" t="s">
        <v>170</v>
      </c>
      <c r="C1" t="s">
        <v>171</v>
      </c>
      <c r="D1" t="s">
        <v>0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</row>
    <row r="2" spans="1:34" x14ac:dyDescent="0.25">
      <c r="A2" s="121" t="s">
        <v>174</v>
      </c>
      <c r="B2" t="s">
        <v>30</v>
      </c>
      <c r="C2" t="s">
        <v>9</v>
      </c>
      <c r="D2" t="s">
        <v>112</v>
      </c>
    </row>
    <row r="3" spans="1:34" x14ac:dyDescent="0.25">
      <c r="A3" s="121" t="s">
        <v>174</v>
      </c>
      <c r="B3" t="s">
        <v>30</v>
      </c>
      <c r="C3" t="s">
        <v>22</v>
      </c>
      <c r="D3" t="s">
        <v>112</v>
      </c>
    </row>
    <row r="4" spans="1:34" x14ac:dyDescent="0.25">
      <c r="A4" s="121" t="s">
        <v>174</v>
      </c>
      <c r="B4" t="s">
        <v>31</v>
      </c>
      <c r="C4" t="s">
        <v>135</v>
      </c>
      <c r="D4" t="s">
        <v>123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  <c r="P4">
        <v>4</v>
      </c>
      <c r="Q4">
        <v>4</v>
      </c>
      <c r="R4">
        <v>4</v>
      </c>
      <c r="S4">
        <v>4</v>
      </c>
      <c r="T4">
        <v>4</v>
      </c>
      <c r="U4">
        <v>4</v>
      </c>
      <c r="V4">
        <v>4</v>
      </c>
      <c r="W4">
        <v>4</v>
      </c>
      <c r="X4">
        <v>4</v>
      </c>
      <c r="Y4">
        <v>4</v>
      </c>
      <c r="Z4">
        <v>4</v>
      </c>
      <c r="AA4">
        <v>4</v>
      </c>
      <c r="AB4">
        <v>4</v>
      </c>
      <c r="AC4">
        <v>4</v>
      </c>
      <c r="AD4">
        <v>4</v>
      </c>
      <c r="AE4">
        <v>4</v>
      </c>
      <c r="AF4">
        <v>4</v>
      </c>
      <c r="AG4">
        <v>4</v>
      </c>
      <c r="AH4">
        <v>4</v>
      </c>
    </row>
    <row r="5" spans="1:34" x14ac:dyDescent="0.25">
      <c r="A5" s="121" t="s">
        <v>174</v>
      </c>
      <c r="B5" t="s">
        <v>35</v>
      </c>
      <c r="C5" t="s">
        <v>110</v>
      </c>
      <c r="D5" t="s">
        <v>72</v>
      </c>
      <c r="E5">
        <v>130</v>
      </c>
    </row>
    <row r="6" spans="1:34" x14ac:dyDescent="0.25">
      <c r="A6" s="121" t="s">
        <v>174</v>
      </c>
      <c r="B6" t="s">
        <v>36</v>
      </c>
      <c r="C6" t="s">
        <v>88</v>
      </c>
      <c r="D6" t="s">
        <v>1</v>
      </c>
      <c r="H6">
        <v>1</v>
      </c>
      <c r="M6">
        <v>1</v>
      </c>
      <c r="R6">
        <v>1</v>
      </c>
      <c r="W6">
        <v>1</v>
      </c>
      <c r="AB6">
        <v>1</v>
      </c>
      <c r="AG6">
        <v>1</v>
      </c>
    </row>
    <row r="7" spans="1:34" x14ac:dyDescent="0.25">
      <c r="A7" s="121" t="s">
        <v>174</v>
      </c>
      <c r="B7" t="s">
        <v>36</v>
      </c>
      <c r="C7" t="s">
        <v>89</v>
      </c>
      <c r="D7" t="s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35</v>
      </c>
      <c r="K7">
        <v>35</v>
      </c>
      <c r="L7">
        <v>35</v>
      </c>
      <c r="M7">
        <v>75</v>
      </c>
      <c r="N7">
        <v>75</v>
      </c>
      <c r="O7">
        <v>100</v>
      </c>
      <c r="P7">
        <v>100</v>
      </c>
      <c r="Q7">
        <v>100</v>
      </c>
      <c r="R7">
        <v>100</v>
      </c>
      <c r="S7">
        <v>100</v>
      </c>
      <c r="T7">
        <v>100</v>
      </c>
      <c r="U7">
        <v>100</v>
      </c>
      <c r="V7">
        <v>100</v>
      </c>
      <c r="W7">
        <v>100</v>
      </c>
      <c r="X7">
        <v>100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50</v>
      </c>
      <c r="AH7">
        <v>50</v>
      </c>
    </row>
    <row r="8" spans="1:34" x14ac:dyDescent="0.25">
      <c r="A8" s="121" t="s">
        <v>174</v>
      </c>
      <c r="B8" t="s">
        <v>36</v>
      </c>
      <c r="C8" t="s">
        <v>38</v>
      </c>
      <c r="D8" t="s">
        <v>1</v>
      </c>
      <c r="H8">
        <v>1</v>
      </c>
      <c r="M8">
        <v>1</v>
      </c>
      <c r="R8">
        <v>1</v>
      </c>
      <c r="W8">
        <v>1</v>
      </c>
      <c r="AB8">
        <v>1</v>
      </c>
      <c r="AG8">
        <v>1</v>
      </c>
    </row>
    <row r="9" spans="1:34" x14ac:dyDescent="0.25">
      <c r="A9" s="121" t="s">
        <v>174</v>
      </c>
      <c r="B9" t="s">
        <v>36</v>
      </c>
      <c r="C9" t="s">
        <v>39</v>
      </c>
      <c r="D9" t="s">
        <v>1</v>
      </c>
      <c r="E9">
        <v>2</v>
      </c>
      <c r="G9">
        <v>2</v>
      </c>
      <c r="I9">
        <v>2</v>
      </c>
      <c r="K9">
        <v>2</v>
      </c>
      <c r="M9">
        <v>2</v>
      </c>
      <c r="O9">
        <v>2</v>
      </c>
      <c r="Q9">
        <v>2</v>
      </c>
      <c r="S9">
        <v>2</v>
      </c>
      <c r="U9">
        <v>2</v>
      </c>
      <c r="W9">
        <v>2</v>
      </c>
      <c r="Y9">
        <v>2</v>
      </c>
      <c r="AA9">
        <v>2</v>
      </c>
      <c r="AC9">
        <v>2</v>
      </c>
      <c r="AE9">
        <v>2</v>
      </c>
      <c r="AG9">
        <v>2</v>
      </c>
    </row>
    <row r="10" spans="1:34" x14ac:dyDescent="0.25">
      <c r="A10" s="121" t="s">
        <v>174</v>
      </c>
      <c r="B10" t="s">
        <v>36</v>
      </c>
      <c r="C10" t="s">
        <v>92</v>
      </c>
      <c r="D10" t="s">
        <v>1</v>
      </c>
      <c r="E10">
        <v>1</v>
      </c>
      <c r="N10">
        <v>1</v>
      </c>
      <c r="X10">
        <v>1</v>
      </c>
      <c r="AH10">
        <v>1</v>
      </c>
    </row>
    <row r="11" spans="1:34" x14ac:dyDescent="0.25">
      <c r="A11" s="121" t="s">
        <v>174</v>
      </c>
      <c r="B11" t="s">
        <v>36</v>
      </c>
      <c r="C11" t="s">
        <v>93</v>
      </c>
      <c r="D11" t="s">
        <v>1</v>
      </c>
      <c r="E11">
        <v>1</v>
      </c>
      <c r="G11">
        <v>1</v>
      </c>
      <c r="I11">
        <v>1</v>
      </c>
      <c r="K11">
        <v>1</v>
      </c>
      <c r="M11">
        <v>1</v>
      </c>
      <c r="O11">
        <v>1</v>
      </c>
      <c r="Q11">
        <v>1</v>
      </c>
      <c r="S11">
        <v>1</v>
      </c>
      <c r="U11">
        <v>1</v>
      </c>
      <c r="W11">
        <v>1</v>
      </c>
      <c r="Y11">
        <v>1</v>
      </c>
      <c r="AA11">
        <v>1</v>
      </c>
      <c r="AC11">
        <v>1</v>
      </c>
      <c r="AE11">
        <v>1</v>
      </c>
      <c r="AG11">
        <v>1</v>
      </c>
    </row>
    <row r="12" spans="1:34" x14ac:dyDescent="0.25">
      <c r="A12" s="121" t="s">
        <v>174</v>
      </c>
      <c r="B12" t="s">
        <v>36</v>
      </c>
      <c r="C12" t="s">
        <v>106</v>
      </c>
      <c r="D12" t="s">
        <v>1</v>
      </c>
      <c r="H12">
        <v>8</v>
      </c>
      <c r="I12">
        <v>8</v>
      </c>
      <c r="J12">
        <v>8</v>
      </c>
      <c r="K12">
        <v>8</v>
      </c>
      <c r="L12">
        <v>8</v>
      </c>
      <c r="M12">
        <v>8</v>
      </c>
      <c r="N12">
        <v>8</v>
      </c>
      <c r="O12">
        <v>8</v>
      </c>
      <c r="P12">
        <v>8</v>
      </c>
      <c r="Q12">
        <v>8</v>
      </c>
      <c r="R12">
        <v>8</v>
      </c>
      <c r="S12">
        <v>8</v>
      </c>
      <c r="T12">
        <v>8</v>
      </c>
      <c r="U12">
        <v>8</v>
      </c>
      <c r="V12">
        <v>8</v>
      </c>
      <c r="W12">
        <v>8</v>
      </c>
      <c r="X12">
        <v>8</v>
      </c>
      <c r="Y12">
        <v>8</v>
      </c>
      <c r="Z12">
        <v>8</v>
      </c>
      <c r="AA12">
        <v>8</v>
      </c>
      <c r="AB12">
        <v>8</v>
      </c>
      <c r="AC12">
        <v>8</v>
      </c>
      <c r="AD12">
        <v>8</v>
      </c>
      <c r="AE12">
        <v>8</v>
      </c>
      <c r="AF12">
        <v>8</v>
      </c>
      <c r="AG12">
        <v>8</v>
      </c>
      <c r="AH12">
        <v>8</v>
      </c>
    </row>
    <row r="13" spans="1:34" x14ac:dyDescent="0.25">
      <c r="A13" s="121" t="s">
        <v>174</v>
      </c>
      <c r="B13" t="s">
        <v>37</v>
      </c>
      <c r="C13" t="s">
        <v>98</v>
      </c>
      <c r="D13" t="s">
        <v>41</v>
      </c>
      <c r="E13">
        <v>24</v>
      </c>
    </row>
    <row r="14" spans="1:34" x14ac:dyDescent="0.25">
      <c r="A14" s="121" t="s">
        <v>174</v>
      </c>
      <c r="B14" t="s">
        <v>37</v>
      </c>
      <c r="C14" t="s">
        <v>97</v>
      </c>
      <c r="D14" t="s">
        <v>41</v>
      </c>
      <c r="E14">
        <v>1</v>
      </c>
    </row>
    <row r="15" spans="1:34" x14ac:dyDescent="0.25">
      <c r="A15" s="121" t="s">
        <v>174</v>
      </c>
      <c r="B15" t="s">
        <v>37</v>
      </c>
      <c r="C15" t="s">
        <v>84</v>
      </c>
      <c r="D15" t="s">
        <v>41</v>
      </c>
      <c r="E15">
        <v>7</v>
      </c>
    </row>
    <row r="16" spans="1:34" x14ac:dyDescent="0.25">
      <c r="A16" s="121" t="s">
        <v>174</v>
      </c>
      <c r="B16" t="s">
        <v>37</v>
      </c>
      <c r="C16" t="s">
        <v>85</v>
      </c>
      <c r="D16" t="s">
        <v>41</v>
      </c>
      <c r="F16">
        <v>3</v>
      </c>
      <c r="G16">
        <v>3</v>
      </c>
      <c r="H16">
        <v>3</v>
      </c>
      <c r="I16">
        <v>3</v>
      </c>
      <c r="J16">
        <v>3</v>
      </c>
      <c r="K16">
        <v>3</v>
      </c>
      <c r="L16">
        <v>3</v>
      </c>
      <c r="M16">
        <v>3</v>
      </c>
      <c r="N16">
        <v>3</v>
      </c>
      <c r="O16">
        <v>3</v>
      </c>
      <c r="P16">
        <v>3</v>
      </c>
      <c r="Q16">
        <v>3</v>
      </c>
      <c r="R16">
        <v>3</v>
      </c>
      <c r="S16">
        <v>3</v>
      </c>
      <c r="T16">
        <v>3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</row>
    <row r="17" spans="1:34" x14ac:dyDescent="0.25">
      <c r="A17" s="121" t="s">
        <v>174</v>
      </c>
      <c r="B17" t="s">
        <v>37</v>
      </c>
      <c r="C17" t="s">
        <v>109</v>
      </c>
      <c r="D17" t="s">
        <v>41</v>
      </c>
      <c r="E17">
        <v>6.5</v>
      </c>
    </row>
    <row r="18" spans="1:34" x14ac:dyDescent="0.25">
      <c r="A18" s="121" t="s">
        <v>174</v>
      </c>
      <c r="B18" t="s">
        <v>37</v>
      </c>
      <c r="C18" t="s">
        <v>82</v>
      </c>
      <c r="D18" t="s">
        <v>41</v>
      </c>
      <c r="E18">
        <v>6</v>
      </c>
      <c r="F18">
        <v>6</v>
      </c>
      <c r="G18">
        <v>6</v>
      </c>
      <c r="H18">
        <v>6</v>
      </c>
      <c r="I18">
        <v>6</v>
      </c>
      <c r="J18">
        <v>6</v>
      </c>
      <c r="K18">
        <v>6</v>
      </c>
      <c r="L18">
        <v>6</v>
      </c>
      <c r="M18">
        <v>6</v>
      </c>
      <c r="N18">
        <v>6</v>
      </c>
      <c r="O18">
        <v>6</v>
      </c>
      <c r="P18">
        <v>6</v>
      </c>
      <c r="Q18">
        <v>6</v>
      </c>
      <c r="R18">
        <v>6</v>
      </c>
      <c r="S18">
        <v>6</v>
      </c>
      <c r="T18">
        <v>6</v>
      </c>
      <c r="U18">
        <v>6</v>
      </c>
      <c r="V18">
        <v>6</v>
      </c>
      <c r="W18">
        <v>6</v>
      </c>
      <c r="X18">
        <v>6</v>
      </c>
      <c r="Y18">
        <v>6</v>
      </c>
      <c r="Z18">
        <v>6</v>
      </c>
      <c r="AA18">
        <v>6</v>
      </c>
      <c r="AB18">
        <v>6</v>
      </c>
      <c r="AC18">
        <v>6</v>
      </c>
      <c r="AD18">
        <v>6</v>
      </c>
      <c r="AE18">
        <v>6</v>
      </c>
      <c r="AF18">
        <v>6</v>
      </c>
      <c r="AG18">
        <v>6</v>
      </c>
      <c r="AH18">
        <v>6</v>
      </c>
    </row>
    <row r="19" spans="1:34" x14ac:dyDescent="0.25">
      <c r="A19" s="121" t="s">
        <v>174</v>
      </c>
      <c r="B19" t="s">
        <v>37</v>
      </c>
      <c r="C19" t="s">
        <v>83</v>
      </c>
      <c r="D19" t="s">
        <v>41</v>
      </c>
      <c r="E19">
        <v>3</v>
      </c>
      <c r="F19">
        <v>3</v>
      </c>
      <c r="G19">
        <v>3</v>
      </c>
      <c r="H19">
        <v>3</v>
      </c>
      <c r="I19">
        <v>3</v>
      </c>
      <c r="J19">
        <v>3</v>
      </c>
      <c r="K19">
        <v>3</v>
      </c>
      <c r="L19">
        <v>3</v>
      </c>
      <c r="M19">
        <v>3</v>
      </c>
      <c r="N19">
        <v>3</v>
      </c>
      <c r="O19">
        <v>3</v>
      </c>
      <c r="P19">
        <v>3</v>
      </c>
      <c r="Q19">
        <v>3</v>
      </c>
      <c r="R19">
        <v>3</v>
      </c>
      <c r="S19">
        <v>3</v>
      </c>
      <c r="T19">
        <v>3</v>
      </c>
      <c r="U19">
        <v>3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3</v>
      </c>
    </row>
    <row r="20" spans="1:34" x14ac:dyDescent="0.25">
      <c r="A20" s="121" t="s">
        <v>174</v>
      </c>
      <c r="B20" t="s">
        <v>37</v>
      </c>
      <c r="C20" t="s">
        <v>104</v>
      </c>
      <c r="D20" t="s">
        <v>41</v>
      </c>
      <c r="H20">
        <v>0</v>
      </c>
      <c r="I20">
        <v>0</v>
      </c>
      <c r="J20">
        <v>29.166666666666668</v>
      </c>
      <c r="K20">
        <v>29.166666666666668</v>
      </c>
      <c r="L20">
        <v>29.166666666666668</v>
      </c>
      <c r="M20">
        <v>62.5</v>
      </c>
      <c r="N20">
        <v>62.5</v>
      </c>
      <c r="O20">
        <v>83.333333333333329</v>
      </c>
      <c r="P20">
        <v>83.333333333333329</v>
      </c>
      <c r="Q20">
        <v>83.333333333333329</v>
      </c>
      <c r="R20">
        <v>83.333333333333329</v>
      </c>
      <c r="S20">
        <v>83.333333333333329</v>
      </c>
      <c r="T20">
        <v>83.333333333333329</v>
      </c>
      <c r="U20">
        <v>83.333333333333329</v>
      </c>
      <c r="V20">
        <v>83.333333333333329</v>
      </c>
      <c r="W20">
        <v>83.333333333333329</v>
      </c>
      <c r="X20">
        <v>83.333333333333329</v>
      </c>
      <c r="Y20">
        <v>41.666666666666664</v>
      </c>
      <c r="Z20">
        <v>41.666666666666664</v>
      </c>
      <c r="AA20">
        <v>41.666666666666664</v>
      </c>
      <c r="AB20">
        <v>41.666666666666664</v>
      </c>
      <c r="AC20">
        <v>41.666666666666664</v>
      </c>
      <c r="AD20">
        <v>41.666666666666664</v>
      </c>
      <c r="AE20">
        <v>41.666666666666664</v>
      </c>
      <c r="AF20">
        <v>41.666666666666664</v>
      </c>
      <c r="AG20">
        <v>41.666666666666664</v>
      </c>
      <c r="AH20">
        <v>41.666666666666664</v>
      </c>
    </row>
    <row r="21" spans="1:34" x14ac:dyDescent="0.25">
      <c r="A21" s="121" t="s">
        <v>174</v>
      </c>
      <c r="B21" t="s">
        <v>37</v>
      </c>
      <c r="C21" t="s">
        <v>107</v>
      </c>
      <c r="D21" t="s">
        <v>41</v>
      </c>
      <c r="H21">
        <v>0</v>
      </c>
      <c r="I21">
        <v>0</v>
      </c>
      <c r="J21">
        <v>0.875</v>
      </c>
      <c r="K21">
        <v>0.875</v>
      </c>
      <c r="L21">
        <v>0.875</v>
      </c>
      <c r="M21">
        <v>1.875</v>
      </c>
      <c r="N21">
        <v>1.875</v>
      </c>
      <c r="O21">
        <v>2.5</v>
      </c>
      <c r="P21">
        <v>2.5</v>
      </c>
      <c r="Q21">
        <v>2.5</v>
      </c>
      <c r="R21">
        <v>2.5</v>
      </c>
      <c r="S21">
        <v>2.5</v>
      </c>
      <c r="T21">
        <v>2.5</v>
      </c>
      <c r="U21">
        <v>2.5</v>
      </c>
      <c r="V21">
        <v>2.5</v>
      </c>
      <c r="W21">
        <v>2.5</v>
      </c>
      <c r="X21">
        <v>2.5</v>
      </c>
      <c r="Y21">
        <v>1.25</v>
      </c>
      <c r="Z21">
        <v>1.25</v>
      </c>
      <c r="AA21">
        <v>1.25</v>
      </c>
      <c r="AB21">
        <v>1.25</v>
      </c>
      <c r="AC21">
        <v>1.25</v>
      </c>
      <c r="AD21">
        <v>1.25</v>
      </c>
      <c r="AE21">
        <v>1.25</v>
      </c>
      <c r="AF21">
        <v>1.25</v>
      </c>
      <c r="AG21">
        <v>1.25</v>
      </c>
      <c r="AH21">
        <v>1.25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H3"/>
  <sheetViews>
    <sheetView workbookViewId="0">
      <selection sqref="A1:XFD1"/>
    </sheetView>
  </sheetViews>
  <sheetFormatPr defaultRowHeight="13.2" x14ac:dyDescent="0.25"/>
  <sheetData>
    <row r="1" spans="1:34" x14ac:dyDescent="0.25">
      <c r="A1" t="s">
        <v>169</v>
      </c>
      <c r="B1" t="s">
        <v>170</v>
      </c>
      <c r="C1" t="s">
        <v>171</v>
      </c>
      <c r="D1" t="s">
        <v>0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</row>
    <row r="2" spans="1:34" x14ac:dyDescent="0.25">
      <c r="A2" s="121" t="s">
        <v>175</v>
      </c>
      <c r="B2" s="121" t="s">
        <v>176</v>
      </c>
      <c r="C2" t="s">
        <v>87</v>
      </c>
      <c r="D2" t="s">
        <v>91</v>
      </c>
      <c r="E2">
        <v>0</v>
      </c>
      <c r="F2">
        <v>0</v>
      </c>
      <c r="G2">
        <v>0</v>
      </c>
      <c r="H2">
        <v>0</v>
      </c>
      <c r="I2">
        <v>0</v>
      </c>
      <c r="J2">
        <v>3500</v>
      </c>
      <c r="K2">
        <v>3500</v>
      </c>
      <c r="L2">
        <v>3500</v>
      </c>
      <c r="M2">
        <v>7500</v>
      </c>
      <c r="N2">
        <v>7500</v>
      </c>
      <c r="O2">
        <v>10000</v>
      </c>
      <c r="P2">
        <v>10000</v>
      </c>
      <c r="Q2">
        <v>10000</v>
      </c>
      <c r="R2">
        <v>10000</v>
      </c>
      <c r="S2">
        <v>10000</v>
      </c>
      <c r="T2">
        <v>10000</v>
      </c>
      <c r="U2">
        <v>10000</v>
      </c>
      <c r="V2">
        <v>10000</v>
      </c>
      <c r="W2">
        <v>10000</v>
      </c>
      <c r="X2">
        <v>10000</v>
      </c>
      <c r="Y2">
        <v>5000</v>
      </c>
      <c r="Z2">
        <v>5000</v>
      </c>
      <c r="AA2">
        <v>5000</v>
      </c>
      <c r="AB2">
        <v>5000</v>
      </c>
      <c r="AC2">
        <v>5000</v>
      </c>
      <c r="AD2">
        <v>5000</v>
      </c>
      <c r="AE2">
        <v>5000</v>
      </c>
      <c r="AF2">
        <v>5000</v>
      </c>
      <c r="AG2">
        <v>5000</v>
      </c>
      <c r="AH2">
        <v>5000</v>
      </c>
    </row>
    <row r="3" spans="1:34" x14ac:dyDescent="0.25">
      <c r="A3" s="121" t="s">
        <v>175</v>
      </c>
      <c r="B3" s="144" t="s">
        <v>176</v>
      </c>
      <c r="C3" t="s">
        <v>90</v>
      </c>
      <c r="D3" t="s">
        <v>168</v>
      </c>
      <c r="E3">
        <v>0</v>
      </c>
      <c r="F3">
        <v>0</v>
      </c>
      <c r="G3">
        <v>0</v>
      </c>
      <c r="H3">
        <v>0</v>
      </c>
      <c r="I3">
        <v>0</v>
      </c>
      <c r="J3">
        <v>1166.6666666666667</v>
      </c>
      <c r="K3">
        <v>1166.6666666666667</v>
      </c>
      <c r="L3">
        <v>1166.6666666666667</v>
      </c>
      <c r="M3">
        <v>2500</v>
      </c>
      <c r="N3">
        <v>2500</v>
      </c>
      <c r="O3">
        <v>3333.3333333333335</v>
      </c>
      <c r="P3">
        <v>3333.3333333333335</v>
      </c>
      <c r="Q3">
        <v>3333.3333333333335</v>
      </c>
      <c r="R3">
        <v>3333.3333333333335</v>
      </c>
      <c r="S3">
        <v>3333.3333333333335</v>
      </c>
      <c r="T3">
        <v>3333.3333333333335</v>
      </c>
      <c r="U3">
        <v>3333.3333333333335</v>
      </c>
      <c r="V3">
        <v>3333.3333333333335</v>
      </c>
      <c r="W3">
        <v>3333.3333333333335</v>
      </c>
      <c r="X3">
        <v>3333.3333333333335</v>
      </c>
      <c r="Y3">
        <v>1666.6666666666667</v>
      </c>
      <c r="Z3">
        <v>1666.6666666666667</v>
      </c>
      <c r="AA3">
        <v>1666.6666666666667</v>
      </c>
      <c r="AB3">
        <v>1666.6666666666667</v>
      </c>
      <c r="AC3">
        <v>1666.6666666666667</v>
      </c>
      <c r="AD3">
        <v>1666.6666666666667</v>
      </c>
      <c r="AE3">
        <v>1666.6666666666667</v>
      </c>
      <c r="AF3">
        <v>1666.6666666666667</v>
      </c>
      <c r="AG3">
        <v>1666.6666666666667</v>
      </c>
      <c r="AH3">
        <v>1666.6666666666667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W49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I44" sqref="I44"/>
    </sheetView>
  </sheetViews>
  <sheetFormatPr defaultColWidth="9.109375" defaultRowHeight="14.4" x14ac:dyDescent="0.3"/>
  <cols>
    <col min="1" max="1" width="9.109375" style="3"/>
    <col min="2" max="2" width="41.109375" style="3" bestFit="1" customWidth="1"/>
    <col min="3" max="3" width="15.33203125" style="4" bestFit="1" customWidth="1"/>
    <col min="4" max="4" width="11.5546875" style="8" bestFit="1" customWidth="1"/>
    <col min="5" max="5" width="10.5546875" style="8" bestFit="1" customWidth="1"/>
    <col min="6" max="6" width="10.5546875" style="3" bestFit="1" customWidth="1"/>
    <col min="7" max="8" width="12" style="3" bestFit="1" customWidth="1"/>
    <col min="9" max="9" width="11.5546875" style="3" bestFit="1" customWidth="1"/>
    <col min="10" max="33" width="12" style="3" bestFit="1" customWidth="1"/>
    <col min="34" max="16384" width="9.109375" style="3"/>
  </cols>
  <sheetData>
    <row r="1" spans="2:49" s="76" customFormat="1" ht="18" x14ac:dyDescent="0.35">
      <c r="B1" s="73" t="s">
        <v>21</v>
      </c>
      <c r="C1" s="74"/>
      <c r="D1" s="75"/>
      <c r="E1" s="75"/>
    </row>
    <row r="2" spans="2:49" s="76" customFormat="1" x14ac:dyDescent="0.3">
      <c r="B2" s="76" t="str">
        <f>'Tabel Harga'!C2</f>
        <v xml:space="preserve">Traditional coconut monoculture </v>
      </c>
      <c r="C2" s="77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</row>
    <row r="3" spans="2:49" s="76" customFormat="1" x14ac:dyDescent="0.3">
      <c r="C3" s="77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</row>
    <row r="4" spans="2:49" s="77" customFormat="1" ht="12.75" customHeight="1" x14ac:dyDescent="0.3">
      <c r="B4" s="140" t="s">
        <v>76</v>
      </c>
      <c r="C4" s="138" t="s">
        <v>0</v>
      </c>
      <c r="D4" s="142" t="s">
        <v>42</v>
      </c>
      <c r="E4" s="142" t="s">
        <v>43</v>
      </c>
      <c r="F4" s="142" t="s">
        <v>44</v>
      </c>
      <c r="G4" s="142" t="s">
        <v>45</v>
      </c>
      <c r="H4" s="142" t="s">
        <v>46</v>
      </c>
      <c r="I4" s="142" t="s">
        <v>47</v>
      </c>
      <c r="J4" s="142" t="s">
        <v>48</v>
      </c>
      <c r="K4" s="142" t="s">
        <v>49</v>
      </c>
      <c r="L4" s="142" t="s">
        <v>50</v>
      </c>
      <c r="M4" s="142" t="s">
        <v>51</v>
      </c>
      <c r="N4" s="142" t="s">
        <v>52</v>
      </c>
      <c r="O4" s="142" t="s">
        <v>53</v>
      </c>
      <c r="P4" s="142" t="s">
        <v>54</v>
      </c>
      <c r="Q4" s="142" t="s">
        <v>55</v>
      </c>
      <c r="R4" s="142" t="s">
        <v>56</v>
      </c>
      <c r="S4" s="142" t="s">
        <v>57</v>
      </c>
      <c r="T4" s="142" t="s">
        <v>58</v>
      </c>
      <c r="U4" s="142" t="s">
        <v>59</v>
      </c>
      <c r="V4" s="142" t="s">
        <v>60</v>
      </c>
      <c r="W4" s="142" t="s">
        <v>61</v>
      </c>
      <c r="X4" s="142" t="s">
        <v>62</v>
      </c>
      <c r="Y4" s="142" t="s">
        <v>63</v>
      </c>
      <c r="Z4" s="142" t="s">
        <v>64</v>
      </c>
      <c r="AA4" s="142" t="s">
        <v>65</v>
      </c>
      <c r="AB4" s="142" t="s">
        <v>66</v>
      </c>
      <c r="AC4" s="142" t="s">
        <v>67</v>
      </c>
      <c r="AD4" s="142" t="s">
        <v>68</v>
      </c>
      <c r="AE4" s="142" t="s">
        <v>69</v>
      </c>
      <c r="AF4" s="142" t="s">
        <v>70</v>
      </c>
      <c r="AG4" s="142" t="s">
        <v>71</v>
      </c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</row>
    <row r="5" spans="2:49" s="77" customFormat="1" ht="21" customHeight="1" x14ac:dyDescent="0.3">
      <c r="B5" s="141"/>
      <c r="C5" s="139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</row>
    <row r="6" spans="2:49" x14ac:dyDescent="0.3">
      <c r="B6" s="34" t="s">
        <v>26</v>
      </c>
      <c r="C6" s="32"/>
      <c r="D6" s="33"/>
      <c r="E6" s="33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</row>
    <row r="7" spans="2:49" x14ac:dyDescent="0.3">
      <c r="B7" s="16" t="s">
        <v>30</v>
      </c>
      <c r="C7" s="19"/>
      <c r="D7" s="20"/>
      <c r="E7" s="9"/>
      <c r="F7" s="9"/>
      <c r="G7" s="9"/>
      <c r="H7" s="9"/>
      <c r="I7" s="9"/>
      <c r="J7" s="9"/>
      <c r="K7" s="28"/>
      <c r="L7" s="9"/>
      <c r="M7" s="9"/>
      <c r="N7" s="2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</row>
    <row r="8" spans="2:49" x14ac:dyDescent="0.3">
      <c r="B8" s="35" t="s">
        <v>9</v>
      </c>
      <c r="C8" s="19" t="s">
        <v>5</v>
      </c>
      <c r="D8" s="12">
        <f>'Tabel Input-Output'!D8*'Tabel Harga'!$E$8</f>
        <v>0</v>
      </c>
      <c r="E8" s="12">
        <f>'Tabel Input-Output'!E8*'Tabel Harga'!$E$8</f>
        <v>0</v>
      </c>
      <c r="F8" s="12">
        <f>'Tabel Input-Output'!F8*'Tabel Harga'!$E$8</f>
        <v>0</v>
      </c>
      <c r="G8" s="12">
        <f>'Tabel Input-Output'!G8*'Tabel Harga'!$E$8</f>
        <v>0</v>
      </c>
      <c r="H8" s="12">
        <f>'Tabel Input-Output'!H8*'Tabel Harga'!$E$8</f>
        <v>0</v>
      </c>
      <c r="I8" s="12">
        <f>'Tabel Input-Output'!I8*'Tabel Harga'!$E$8</f>
        <v>0</v>
      </c>
      <c r="J8" s="12">
        <f>'Tabel Input-Output'!J8*'Tabel Harga'!$E$8</f>
        <v>0</v>
      </c>
      <c r="K8" s="12">
        <f>'Tabel Input-Output'!K8*'Tabel Harga'!$E$8</f>
        <v>0</v>
      </c>
      <c r="L8" s="12">
        <f>'Tabel Input-Output'!L8*'Tabel Harga'!$E$8</f>
        <v>0</v>
      </c>
      <c r="M8" s="12">
        <f>'Tabel Input-Output'!M8*'Tabel Harga'!$E$8</f>
        <v>0</v>
      </c>
      <c r="N8" s="12">
        <f>'Tabel Input-Output'!N8*'Tabel Harga'!$E$8</f>
        <v>0</v>
      </c>
      <c r="O8" s="12">
        <f>'Tabel Input-Output'!O8*'Tabel Harga'!$E$8</f>
        <v>0</v>
      </c>
      <c r="P8" s="12">
        <f>'Tabel Input-Output'!P8*'Tabel Harga'!$E$8</f>
        <v>0</v>
      </c>
      <c r="Q8" s="12">
        <f>'Tabel Input-Output'!Q8*'Tabel Harga'!$E$8</f>
        <v>0</v>
      </c>
      <c r="R8" s="12">
        <f>'Tabel Input-Output'!R8*'Tabel Harga'!$E$8</f>
        <v>0</v>
      </c>
      <c r="S8" s="12">
        <f>'Tabel Input-Output'!S8*'Tabel Harga'!$E$8</f>
        <v>0</v>
      </c>
      <c r="T8" s="12">
        <f>'Tabel Input-Output'!T8*'Tabel Harga'!$E$8</f>
        <v>0</v>
      </c>
      <c r="U8" s="12">
        <f>'Tabel Input-Output'!U8*'Tabel Harga'!$E$8</f>
        <v>0</v>
      </c>
      <c r="V8" s="12">
        <f>'Tabel Input-Output'!V8*'Tabel Harga'!$E$8</f>
        <v>0</v>
      </c>
      <c r="W8" s="12">
        <f>'Tabel Input-Output'!W8*'Tabel Harga'!$E$8</f>
        <v>0</v>
      </c>
      <c r="X8" s="12">
        <f>'Tabel Input-Output'!X8*'Tabel Harga'!$E$8</f>
        <v>0</v>
      </c>
      <c r="Y8" s="12">
        <f>'Tabel Input-Output'!Y8*'Tabel Harga'!$E$8</f>
        <v>0</v>
      </c>
      <c r="Z8" s="12">
        <f>'Tabel Input-Output'!Z8*'Tabel Harga'!$E$8</f>
        <v>0</v>
      </c>
      <c r="AA8" s="12">
        <f>'Tabel Input-Output'!AA8*'Tabel Harga'!$E$8</f>
        <v>0</v>
      </c>
      <c r="AB8" s="12">
        <f>'Tabel Input-Output'!AB8*'Tabel Harga'!$E$8</f>
        <v>0</v>
      </c>
      <c r="AC8" s="12">
        <f>'Tabel Input-Output'!AC8*'Tabel Harga'!$E$8</f>
        <v>0</v>
      </c>
      <c r="AD8" s="12">
        <f>'Tabel Input-Output'!AD8*'Tabel Harga'!$E$8</f>
        <v>0</v>
      </c>
      <c r="AE8" s="12">
        <f>'Tabel Input-Output'!AE8*'Tabel Harga'!$E$8</f>
        <v>0</v>
      </c>
      <c r="AF8" s="12">
        <f>'Tabel Input-Output'!AF8*'Tabel Harga'!$E$8</f>
        <v>0</v>
      </c>
      <c r="AG8" s="12">
        <f>'Tabel Input-Output'!AG8*'Tabel Harga'!$E$8</f>
        <v>0</v>
      </c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</row>
    <row r="9" spans="2:49" x14ac:dyDescent="0.3">
      <c r="B9" s="35" t="s">
        <v>22</v>
      </c>
      <c r="C9" s="19" t="s">
        <v>5</v>
      </c>
      <c r="D9" s="12">
        <f>'Tabel Input-Output'!D9*'Tabel Harga'!$E$9</f>
        <v>0</v>
      </c>
      <c r="E9" s="12">
        <f>'Tabel Input-Output'!E9*'Tabel Harga'!$E$9</f>
        <v>0</v>
      </c>
      <c r="F9" s="12">
        <f>'Tabel Input-Output'!F9*'Tabel Harga'!$E$9</f>
        <v>0</v>
      </c>
      <c r="G9" s="12">
        <f>'Tabel Input-Output'!G9*'Tabel Harga'!$E$9</f>
        <v>0</v>
      </c>
      <c r="H9" s="12">
        <f>'Tabel Input-Output'!H9*'Tabel Harga'!$E$9</f>
        <v>0</v>
      </c>
      <c r="I9" s="12">
        <f>'Tabel Input-Output'!I9*'Tabel Harga'!$E$9</f>
        <v>0</v>
      </c>
      <c r="J9" s="12">
        <f>'Tabel Input-Output'!J9*'Tabel Harga'!$E$9</f>
        <v>0</v>
      </c>
      <c r="K9" s="12">
        <f>'Tabel Input-Output'!K9*'Tabel Harga'!$E$9</f>
        <v>0</v>
      </c>
      <c r="L9" s="12">
        <f>'Tabel Input-Output'!L9*'Tabel Harga'!$E$9</f>
        <v>0</v>
      </c>
      <c r="M9" s="12">
        <f>'Tabel Input-Output'!M9*'Tabel Harga'!$E$9</f>
        <v>0</v>
      </c>
      <c r="N9" s="12">
        <f>'Tabel Input-Output'!N9*'Tabel Harga'!$E$9</f>
        <v>0</v>
      </c>
      <c r="O9" s="12">
        <f>'Tabel Input-Output'!O9*'Tabel Harga'!$E$9</f>
        <v>0</v>
      </c>
      <c r="P9" s="12">
        <f>'Tabel Input-Output'!P9*'Tabel Harga'!$E$9</f>
        <v>0</v>
      </c>
      <c r="Q9" s="12">
        <f>'Tabel Input-Output'!Q9*'Tabel Harga'!$E$9</f>
        <v>0</v>
      </c>
      <c r="R9" s="12">
        <f>'Tabel Input-Output'!R9*'Tabel Harga'!$E$9</f>
        <v>0</v>
      </c>
      <c r="S9" s="12">
        <f>'Tabel Input-Output'!S9*'Tabel Harga'!$E$9</f>
        <v>0</v>
      </c>
      <c r="T9" s="12">
        <f>'Tabel Input-Output'!T9*'Tabel Harga'!$E$9</f>
        <v>0</v>
      </c>
      <c r="U9" s="12">
        <f>'Tabel Input-Output'!U9*'Tabel Harga'!$E$9</f>
        <v>0</v>
      </c>
      <c r="V9" s="12">
        <f>'Tabel Input-Output'!V9*'Tabel Harga'!$E$9</f>
        <v>0</v>
      </c>
      <c r="W9" s="12">
        <f>'Tabel Input-Output'!W9*'Tabel Harga'!$E$9</f>
        <v>0</v>
      </c>
      <c r="X9" s="12">
        <f>'Tabel Input-Output'!X9*'Tabel Harga'!$E$9</f>
        <v>0</v>
      </c>
      <c r="Y9" s="12">
        <f>'Tabel Input-Output'!Y9*'Tabel Harga'!$E$9</f>
        <v>0</v>
      </c>
      <c r="Z9" s="12">
        <f>'Tabel Input-Output'!Z9*'Tabel Harga'!$E$9</f>
        <v>0</v>
      </c>
      <c r="AA9" s="12">
        <f>'Tabel Input-Output'!AA9*'Tabel Harga'!$E$9</f>
        <v>0</v>
      </c>
      <c r="AB9" s="12">
        <f>'Tabel Input-Output'!AB9*'Tabel Harga'!$E$9</f>
        <v>0</v>
      </c>
      <c r="AC9" s="12">
        <f>'Tabel Input-Output'!AC9*'Tabel Harga'!$E$9</f>
        <v>0</v>
      </c>
      <c r="AD9" s="12">
        <f>'Tabel Input-Output'!AD9*'Tabel Harga'!$E$9</f>
        <v>0</v>
      </c>
      <c r="AE9" s="12">
        <f>'Tabel Input-Output'!AE9*'Tabel Harga'!$E$9</f>
        <v>0</v>
      </c>
      <c r="AF9" s="12">
        <f>'Tabel Input-Output'!AF9*'Tabel Harga'!$E$9</f>
        <v>0</v>
      </c>
      <c r="AG9" s="12">
        <f>'Tabel Input-Output'!AG9*'Tabel Harga'!$E$9</f>
        <v>0</v>
      </c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</row>
    <row r="10" spans="2:49" x14ac:dyDescent="0.3">
      <c r="B10" s="16" t="s">
        <v>31</v>
      </c>
      <c r="C10" s="19"/>
      <c r="D10" s="12"/>
      <c r="E10" s="10"/>
      <c r="F10" s="10"/>
      <c r="G10" s="10"/>
      <c r="H10" s="10"/>
      <c r="I10" s="10"/>
      <c r="J10" s="10"/>
      <c r="K10" s="11"/>
      <c r="L10" s="10"/>
      <c r="M10" s="10"/>
      <c r="N10" s="11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2"/>
      <c r="AC10" s="12"/>
      <c r="AD10" s="12"/>
      <c r="AE10" s="12"/>
      <c r="AF10" s="12"/>
      <c r="AG10" s="12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</row>
    <row r="11" spans="2:49" x14ac:dyDescent="0.3">
      <c r="B11" s="35" t="s">
        <v>135</v>
      </c>
      <c r="C11" s="19" t="s">
        <v>5</v>
      </c>
      <c r="D11" s="12">
        <f>'Tabel Input-Output'!D11*'Tabel Harga'!$E$11</f>
        <v>260000</v>
      </c>
      <c r="E11" s="12">
        <f>'Tabel Input-Output'!E11*'Tabel Harga'!$E$11</f>
        <v>260000</v>
      </c>
      <c r="F11" s="12">
        <f>'Tabel Input-Output'!F11*'Tabel Harga'!$E$11</f>
        <v>260000</v>
      </c>
      <c r="G11" s="12">
        <f>'Tabel Input-Output'!G11*'Tabel Harga'!$E$11</f>
        <v>260000</v>
      </c>
      <c r="H11" s="12">
        <f>'Tabel Input-Output'!H11*'Tabel Harga'!$E$11</f>
        <v>260000</v>
      </c>
      <c r="I11" s="12">
        <f>'Tabel Input-Output'!I11*'Tabel Harga'!$E$11</f>
        <v>260000</v>
      </c>
      <c r="J11" s="12">
        <f>'Tabel Input-Output'!J11*'Tabel Harga'!$E$11</f>
        <v>260000</v>
      </c>
      <c r="K11" s="12">
        <f>'Tabel Input-Output'!K11*'Tabel Harga'!$E$11</f>
        <v>260000</v>
      </c>
      <c r="L11" s="12">
        <f>'Tabel Input-Output'!L11*'Tabel Harga'!$E$11</f>
        <v>260000</v>
      </c>
      <c r="M11" s="12">
        <f>'Tabel Input-Output'!M11*'Tabel Harga'!$E$11</f>
        <v>260000</v>
      </c>
      <c r="N11" s="12">
        <f>'Tabel Input-Output'!N11*'Tabel Harga'!$E$11</f>
        <v>260000</v>
      </c>
      <c r="O11" s="12">
        <f>'Tabel Input-Output'!O11*'Tabel Harga'!$E$11</f>
        <v>260000</v>
      </c>
      <c r="P11" s="12">
        <f>'Tabel Input-Output'!P11*'Tabel Harga'!$E$11</f>
        <v>260000</v>
      </c>
      <c r="Q11" s="12">
        <f>'Tabel Input-Output'!Q11*'Tabel Harga'!$E$11</f>
        <v>260000</v>
      </c>
      <c r="R11" s="12">
        <f>'Tabel Input-Output'!R11*'Tabel Harga'!$E$11</f>
        <v>260000</v>
      </c>
      <c r="S11" s="12">
        <f>'Tabel Input-Output'!S11*'Tabel Harga'!$E$11</f>
        <v>260000</v>
      </c>
      <c r="T11" s="12">
        <f>'Tabel Input-Output'!T11*'Tabel Harga'!$E$11</f>
        <v>260000</v>
      </c>
      <c r="U11" s="12">
        <f>'Tabel Input-Output'!U11*'Tabel Harga'!$E$11</f>
        <v>260000</v>
      </c>
      <c r="V11" s="12">
        <f>'Tabel Input-Output'!V11*'Tabel Harga'!$E$11</f>
        <v>260000</v>
      </c>
      <c r="W11" s="12">
        <f>'Tabel Input-Output'!W11*'Tabel Harga'!$E$11</f>
        <v>260000</v>
      </c>
      <c r="X11" s="12">
        <f>'Tabel Input-Output'!X11*'Tabel Harga'!$E$11</f>
        <v>260000</v>
      </c>
      <c r="Y11" s="12">
        <f>'Tabel Input-Output'!Y11*'Tabel Harga'!$E$11</f>
        <v>260000</v>
      </c>
      <c r="Z11" s="12">
        <f>'Tabel Input-Output'!Z11*'Tabel Harga'!$E$11</f>
        <v>260000</v>
      </c>
      <c r="AA11" s="12">
        <f>'Tabel Input-Output'!AA11*'Tabel Harga'!$E$11</f>
        <v>260000</v>
      </c>
      <c r="AB11" s="12">
        <f>'Tabel Input-Output'!AB11*'Tabel Harga'!$E$11</f>
        <v>260000</v>
      </c>
      <c r="AC11" s="12">
        <f>'Tabel Input-Output'!AC11*'Tabel Harga'!$E$11</f>
        <v>260000</v>
      </c>
      <c r="AD11" s="12">
        <f>'Tabel Input-Output'!AD11*'Tabel Harga'!$E$11</f>
        <v>260000</v>
      </c>
      <c r="AE11" s="12">
        <f>'Tabel Input-Output'!AE11*'Tabel Harga'!$E$11</f>
        <v>260000</v>
      </c>
      <c r="AF11" s="12">
        <f>'Tabel Input-Output'!AF11*'Tabel Harga'!$E$11</f>
        <v>260000</v>
      </c>
      <c r="AG11" s="12">
        <f>'Tabel Input-Output'!AG11*'Tabel Harga'!$E$11</f>
        <v>260000</v>
      </c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</row>
    <row r="12" spans="2:49" x14ac:dyDescent="0.3">
      <c r="B12" s="35"/>
      <c r="C12" s="19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</row>
    <row r="13" spans="2:49" s="7" customFormat="1" x14ac:dyDescent="0.3">
      <c r="B13" s="16" t="s">
        <v>35</v>
      </c>
      <c r="C13" s="19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</row>
    <row r="14" spans="2:49" s="7" customFormat="1" x14ac:dyDescent="0.3">
      <c r="B14" s="35" t="s">
        <v>87</v>
      </c>
      <c r="C14" s="19"/>
      <c r="D14" s="12">
        <f>'Tabel Input-Output'!D14*'Tabel Harga'!$E$14</f>
        <v>390000</v>
      </c>
      <c r="E14" s="12">
        <f>'Tabel Input-Output'!E14*'Tabel Harga'!$E$14</f>
        <v>0</v>
      </c>
      <c r="F14" s="12">
        <f>'Tabel Input-Output'!F14*'Tabel Harga'!$E$14</f>
        <v>0</v>
      </c>
      <c r="G14" s="12">
        <f>'Tabel Input-Output'!G14*'Tabel Harga'!$E$14</f>
        <v>0</v>
      </c>
      <c r="H14" s="12">
        <f>'Tabel Input-Output'!H14*'Tabel Harga'!$E$14</f>
        <v>0</v>
      </c>
      <c r="I14" s="12">
        <f>'Tabel Input-Output'!I14*'Tabel Harga'!$E$14</f>
        <v>0</v>
      </c>
      <c r="J14" s="12">
        <f>'Tabel Input-Output'!J14*'Tabel Harga'!$E$14</f>
        <v>0</v>
      </c>
      <c r="K14" s="12">
        <f>'Tabel Input-Output'!K14*'Tabel Harga'!$E$14</f>
        <v>0</v>
      </c>
      <c r="L14" s="12">
        <f>'Tabel Input-Output'!L14*'Tabel Harga'!$E$14</f>
        <v>0</v>
      </c>
      <c r="M14" s="12">
        <f>'Tabel Input-Output'!M14*'Tabel Harga'!$E$14</f>
        <v>0</v>
      </c>
      <c r="N14" s="12">
        <f>'Tabel Input-Output'!N14*'Tabel Harga'!$E$14</f>
        <v>0</v>
      </c>
      <c r="O14" s="12">
        <f>'Tabel Input-Output'!O14*'Tabel Harga'!$E$14</f>
        <v>0</v>
      </c>
      <c r="P14" s="12">
        <f>'Tabel Input-Output'!P14*'Tabel Harga'!$E$14</f>
        <v>0</v>
      </c>
      <c r="Q14" s="12">
        <f>'Tabel Input-Output'!Q14*'Tabel Harga'!$E$14</f>
        <v>0</v>
      </c>
      <c r="R14" s="12">
        <f>'Tabel Input-Output'!R14*'Tabel Harga'!$E$14</f>
        <v>0</v>
      </c>
      <c r="S14" s="12">
        <f>'Tabel Input-Output'!S14*'Tabel Harga'!$E$14</f>
        <v>0</v>
      </c>
      <c r="T14" s="12">
        <f>'Tabel Input-Output'!T14*'Tabel Harga'!$E$14</f>
        <v>0</v>
      </c>
      <c r="U14" s="12">
        <f>'Tabel Input-Output'!U14*'Tabel Harga'!$E$14</f>
        <v>0</v>
      </c>
      <c r="V14" s="12">
        <f>'Tabel Input-Output'!V14*'Tabel Harga'!$E$14</f>
        <v>0</v>
      </c>
      <c r="W14" s="12">
        <f>'Tabel Input-Output'!W14*'Tabel Harga'!$E$14</f>
        <v>0</v>
      </c>
      <c r="X14" s="12">
        <f>'Tabel Input-Output'!X14*'Tabel Harga'!$E$14</f>
        <v>0</v>
      </c>
      <c r="Y14" s="12">
        <f>'Tabel Input-Output'!Y14*'Tabel Harga'!$E$14</f>
        <v>0</v>
      </c>
      <c r="Z14" s="12">
        <f>'Tabel Input-Output'!Z14*'Tabel Harga'!$E$14</f>
        <v>0</v>
      </c>
      <c r="AA14" s="12">
        <f>'Tabel Input-Output'!AA14*'Tabel Harga'!$E$14</f>
        <v>0</v>
      </c>
      <c r="AB14" s="12">
        <f>'Tabel Input-Output'!AB14*'Tabel Harga'!$E$14</f>
        <v>0</v>
      </c>
      <c r="AC14" s="12">
        <f>'Tabel Input-Output'!AC14*'Tabel Harga'!$E$14</f>
        <v>0</v>
      </c>
      <c r="AD14" s="12">
        <f>'Tabel Input-Output'!AD14*'Tabel Harga'!$E$14</f>
        <v>0</v>
      </c>
      <c r="AE14" s="12">
        <f>'Tabel Input-Output'!AE14*'Tabel Harga'!$E$14</f>
        <v>0</v>
      </c>
      <c r="AF14" s="12">
        <f>'Tabel Input-Output'!AF14*'Tabel Harga'!$E$14</f>
        <v>0</v>
      </c>
      <c r="AG14" s="12">
        <f>'Tabel Input-Output'!AG14*'Tabel Harga'!$E$14</f>
        <v>0</v>
      </c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</row>
    <row r="15" spans="2:49" s="7" customFormat="1" x14ac:dyDescent="0.3">
      <c r="B15" s="35"/>
      <c r="C15" s="19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</row>
    <row r="16" spans="2:49" s="7" customFormat="1" x14ac:dyDescent="0.3">
      <c r="B16" s="16" t="s">
        <v>7</v>
      </c>
      <c r="C16" s="19"/>
      <c r="D16" s="12"/>
      <c r="E16" s="10"/>
      <c r="F16" s="10"/>
      <c r="G16" s="10"/>
      <c r="H16" s="10"/>
      <c r="I16" s="10"/>
      <c r="J16" s="10"/>
      <c r="K16" s="11"/>
      <c r="L16" s="10"/>
      <c r="M16" s="10"/>
      <c r="N16" s="11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</row>
    <row r="17" spans="2:49" x14ac:dyDescent="0.3">
      <c r="B17" s="35" t="s">
        <v>88</v>
      </c>
      <c r="C17" s="19" t="s">
        <v>5</v>
      </c>
      <c r="D17" s="12">
        <f>'Tabel Input-Output'!D17*'Tabel Harga'!$E$17</f>
        <v>0</v>
      </c>
      <c r="E17" s="12">
        <f>'Tabel Input-Output'!E17*'Tabel Harga'!$E$17</f>
        <v>0</v>
      </c>
      <c r="F17" s="12">
        <f>'Tabel Input-Output'!F17*'Tabel Harga'!$E$17</f>
        <v>0</v>
      </c>
      <c r="G17" s="12">
        <f>'Tabel Input-Output'!G17*'Tabel Harga'!$E$17</f>
        <v>30000</v>
      </c>
      <c r="H17" s="12">
        <f>'Tabel Input-Output'!H17*'Tabel Harga'!$E$17</f>
        <v>0</v>
      </c>
      <c r="I17" s="12">
        <f>'Tabel Input-Output'!I17*'Tabel Harga'!$E$17</f>
        <v>0</v>
      </c>
      <c r="J17" s="12">
        <f>'Tabel Input-Output'!J17*'Tabel Harga'!$E$17</f>
        <v>0</v>
      </c>
      <c r="K17" s="12">
        <f>'Tabel Input-Output'!K17*'Tabel Harga'!$E$17</f>
        <v>0</v>
      </c>
      <c r="L17" s="12">
        <f>'Tabel Input-Output'!L17*'Tabel Harga'!$E$17</f>
        <v>30000</v>
      </c>
      <c r="M17" s="12">
        <f>'Tabel Input-Output'!M17*'Tabel Harga'!$E$17</f>
        <v>0</v>
      </c>
      <c r="N17" s="12">
        <f>'Tabel Input-Output'!N17*'Tabel Harga'!$E$17</f>
        <v>0</v>
      </c>
      <c r="O17" s="12">
        <f>'Tabel Input-Output'!O17*'Tabel Harga'!$E$17</f>
        <v>0</v>
      </c>
      <c r="P17" s="12">
        <f>'Tabel Input-Output'!P17*'Tabel Harga'!$E$17</f>
        <v>0</v>
      </c>
      <c r="Q17" s="12">
        <f>'Tabel Input-Output'!Q17*'Tabel Harga'!$E$17</f>
        <v>30000</v>
      </c>
      <c r="R17" s="12">
        <f>'Tabel Input-Output'!R17*'Tabel Harga'!$E$17</f>
        <v>0</v>
      </c>
      <c r="S17" s="12">
        <f>'Tabel Input-Output'!S17*'Tabel Harga'!$E$17</f>
        <v>0</v>
      </c>
      <c r="T17" s="12">
        <f>'Tabel Input-Output'!T17*'Tabel Harga'!$E$17</f>
        <v>0</v>
      </c>
      <c r="U17" s="12">
        <f>'Tabel Input-Output'!U17*'Tabel Harga'!$E$17</f>
        <v>0</v>
      </c>
      <c r="V17" s="12">
        <f>'Tabel Input-Output'!V17*'Tabel Harga'!$E$17</f>
        <v>30000</v>
      </c>
      <c r="W17" s="12">
        <f>'Tabel Input-Output'!W17*'Tabel Harga'!$E$17</f>
        <v>0</v>
      </c>
      <c r="X17" s="12">
        <f>'Tabel Input-Output'!X17*'Tabel Harga'!$E$17</f>
        <v>0</v>
      </c>
      <c r="Y17" s="12">
        <f>'Tabel Input-Output'!Y17*'Tabel Harga'!$E$17</f>
        <v>0</v>
      </c>
      <c r="Z17" s="12">
        <f>'Tabel Input-Output'!Z17*'Tabel Harga'!$E$17</f>
        <v>0</v>
      </c>
      <c r="AA17" s="12">
        <f>'Tabel Input-Output'!AA17*'Tabel Harga'!$E$17</f>
        <v>30000</v>
      </c>
      <c r="AB17" s="12">
        <f>'Tabel Input-Output'!AB17*'Tabel Harga'!$E$17</f>
        <v>0</v>
      </c>
      <c r="AC17" s="12">
        <f>'Tabel Input-Output'!AC17*'Tabel Harga'!$E$17</f>
        <v>0</v>
      </c>
      <c r="AD17" s="12">
        <f>'Tabel Input-Output'!AD17*'Tabel Harga'!$E$17</f>
        <v>0</v>
      </c>
      <c r="AE17" s="12">
        <f>'Tabel Input-Output'!AE17*'Tabel Harga'!$E$17</f>
        <v>0</v>
      </c>
      <c r="AF17" s="12">
        <f>'Tabel Input-Output'!AF17*'Tabel Harga'!$E$17</f>
        <v>30000</v>
      </c>
      <c r="AG17" s="12">
        <f>'Tabel Input-Output'!AG17*'Tabel Harga'!$E$17</f>
        <v>0</v>
      </c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</row>
    <row r="18" spans="2:49" x14ac:dyDescent="0.3">
      <c r="B18" s="86" t="s">
        <v>89</v>
      </c>
      <c r="C18" s="19" t="s">
        <v>5</v>
      </c>
      <c r="D18" s="12">
        <f>'Tabel Input-Output'!D18*'Tabel Harga'!$E$18</f>
        <v>0</v>
      </c>
      <c r="E18" s="12">
        <f>'Tabel Input-Output'!E18*'Tabel Harga'!$E$18</f>
        <v>0</v>
      </c>
      <c r="F18" s="12">
        <f>'Tabel Input-Output'!F18*'Tabel Harga'!$E$18</f>
        <v>0</v>
      </c>
      <c r="G18" s="12">
        <f>'Tabel Input-Output'!G18*'Tabel Harga'!$E$18</f>
        <v>0</v>
      </c>
      <c r="H18" s="12">
        <f>'Tabel Input-Output'!H18*'Tabel Harga'!$E$18</f>
        <v>0</v>
      </c>
      <c r="I18" s="12">
        <f>'Tabel Input-Output'!I18*'Tabel Harga'!$E$18</f>
        <v>140000</v>
      </c>
      <c r="J18" s="12">
        <f>'Tabel Input-Output'!J18*'Tabel Harga'!$E$18</f>
        <v>140000</v>
      </c>
      <c r="K18" s="12">
        <f>'Tabel Input-Output'!K18*'Tabel Harga'!$E$18</f>
        <v>140000</v>
      </c>
      <c r="L18" s="12">
        <f>'Tabel Input-Output'!L18*'Tabel Harga'!$E$18</f>
        <v>300000</v>
      </c>
      <c r="M18" s="12">
        <f>'Tabel Input-Output'!M18*'Tabel Harga'!$E$18</f>
        <v>300000</v>
      </c>
      <c r="N18" s="12">
        <f>'Tabel Input-Output'!N18*'Tabel Harga'!$E$18</f>
        <v>400000</v>
      </c>
      <c r="O18" s="12">
        <f>'Tabel Input-Output'!O18*'Tabel Harga'!$E$18</f>
        <v>400000</v>
      </c>
      <c r="P18" s="12">
        <f>'Tabel Input-Output'!P18*'Tabel Harga'!$E$18</f>
        <v>400000</v>
      </c>
      <c r="Q18" s="12">
        <f>'Tabel Input-Output'!Q18*'Tabel Harga'!$E$18</f>
        <v>400000</v>
      </c>
      <c r="R18" s="12">
        <f>'Tabel Input-Output'!R18*'Tabel Harga'!$E$18</f>
        <v>400000</v>
      </c>
      <c r="S18" s="12">
        <f>'Tabel Input-Output'!S18*'Tabel Harga'!$E$18</f>
        <v>400000</v>
      </c>
      <c r="T18" s="12">
        <f>'Tabel Input-Output'!T18*'Tabel Harga'!$E$18</f>
        <v>400000</v>
      </c>
      <c r="U18" s="12">
        <f>'Tabel Input-Output'!U18*'Tabel Harga'!$E$18</f>
        <v>400000</v>
      </c>
      <c r="V18" s="12">
        <f>'Tabel Input-Output'!V18*'Tabel Harga'!$E$18</f>
        <v>400000</v>
      </c>
      <c r="W18" s="12">
        <f>'Tabel Input-Output'!W18*'Tabel Harga'!$E$18</f>
        <v>400000</v>
      </c>
      <c r="X18" s="12">
        <f>'Tabel Input-Output'!X18*'Tabel Harga'!$E$18</f>
        <v>200000</v>
      </c>
      <c r="Y18" s="12">
        <f>'Tabel Input-Output'!Y18*'Tabel Harga'!$E$18</f>
        <v>200000</v>
      </c>
      <c r="Z18" s="12">
        <f>'Tabel Input-Output'!Z18*'Tabel Harga'!$E$18</f>
        <v>200000</v>
      </c>
      <c r="AA18" s="12">
        <f>'Tabel Input-Output'!AA18*'Tabel Harga'!$E$18</f>
        <v>200000</v>
      </c>
      <c r="AB18" s="12">
        <f>'Tabel Input-Output'!AB18*'Tabel Harga'!$E$18</f>
        <v>200000</v>
      </c>
      <c r="AC18" s="12">
        <f>'Tabel Input-Output'!AC18*'Tabel Harga'!$E$18</f>
        <v>200000</v>
      </c>
      <c r="AD18" s="12">
        <f>'Tabel Input-Output'!AD18*'Tabel Harga'!$E$18</f>
        <v>200000</v>
      </c>
      <c r="AE18" s="12">
        <f>'Tabel Input-Output'!AE18*'Tabel Harga'!$E$18</f>
        <v>200000</v>
      </c>
      <c r="AF18" s="12">
        <f>'Tabel Input-Output'!AF18*'Tabel Harga'!$E$18</f>
        <v>200000</v>
      </c>
      <c r="AG18" s="12">
        <f>'Tabel Input-Output'!AG18*'Tabel Harga'!$E$18</f>
        <v>200000</v>
      </c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</row>
    <row r="19" spans="2:49" x14ac:dyDescent="0.3">
      <c r="B19" s="86" t="s">
        <v>38</v>
      </c>
      <c r="C19" s="19" t="s">
        <v>5</v>
      </c>
      <c r="D19" s="12">
        <f>'Tabel Input-Output'!D19*'Tabel Harga'!$E$19</f>
        <v>0</v>
      </c>
      <c r="E19" s="12">
        <f>'Tabel Input-Output'!E19*'Tabel Harga'!$E$19</f>
        <v>0</v>
      </c>
      <c r="F19" s="12">
        <f>'Tabel Input-Output'!F19*'Tabel Harga'!$E$19</f>
        <v>0</v>
      </c>
      <c r="G19" s="12">
        <f>'Tabel Input-Output'!G19*'Tabel Harga'!$E$19</f>
        <v>100000</v>
      </c>
      <c r="H19" s="12">
        <f>'Tabel Input-Output'!H19*'Tabel Harga'!$E$19</f>
        <v>0</v>
      </c>
      <c r="I19" s="12">
        <f>'Tabel Input-Output'!I19*'Tabel Harga'!$E$19</f>
        <v>0</v>
      </c>
      <c r="J19" s="12">
        <f>'Tabel Input-Output'!J19*'Tabel Harga'!$E$19</f>
        <v>0</v>
      </c>
      <c r="K19" s="12">
        <f>'Tabel Input-Output'!K19*'Tabel Harga'!$E$19</f>
        <v>0</v>
      </c>
      <c r="L19" s="12">
        <f>'Tabel Input-Output'!L19*'Tabel Harga'!$E$19</f>
        <v>100000</v>
      </c>
      <c r="M19" s="12">
        <f>'Tabel Input-Output'!M19*'Tabel Harga'!$E$19</f>
        <v>0</v>
      </c>
      <c r="N19" s="12">
        <f>'Tabel Input-Output'!N19*'Tabel Harga'!$E$19</f>
        <v>0</v>
      </c>
      <c r="O19" s="12">
        <f>'Tabel Input-Output'!O19*'Tabel Harga'!$E$19</f>
        <v>0</v>
      </c>
      <c r="P19" s="12">
        <f>'Tabel Input-Output'!P19*'Tabel Harga'!$E$19</f>
        <v>0</v>
      </c>
      <c r="Q19" s="12">
        <f>'Tabel Input-Output'!Q19*'Tabel Harga'!$E$19</f>
        <v>100000</v>
      </c>
      <c r="R19" s="12">
        <f>'Tabel Input-Output'!R19*'Tabel Harga'!$E$19</f>
        <v>0</v>
      </c>
      <c r="S19" s="12">
        <f>'Tabel Input-Output'!S19*'Tabel Harga'!$E$19</f>
        <v>0</v>
      </c>
      <c r="T19" s="12">
        <f>'Tabel Input-Output'!T19*'Tabel Harga'!$E$19</f>
        <v>0</v>
      </c>
      <c r="U19" s="12">
        <f>'Tabel Input-Output'!U19*'Tabel Harga'!$E$19</f>
        <v>0</v>
      </c>
      <c r="V19" s="12">
        <f>'Tabel Input-Output'!V19*'Tabel Harga'!$E$19</f>
        <v>100000</v>
      </c>
      <c r="W19" s="12">
        <f>'Tabel Input-Output'!W19*'Tabel Harga'!$E$19</f>
        <v>0</v>
      </c>
      <c r="X19" s="12">
        <f>'Tabel Input-Output'!X19*'Tabel Harga'!$E$19</f>
        <v>0</v>
      </c>
      <c r="Y19" s="12">
        <f>'Tabel Input-Output'!Y19*'Tabel Harga'!$E$19</f>
        <v>0</v>
      </c>
      <c r="Z19" s="12">
        <f>'Tabel Input-Output'!Z19*'Tabel Harga'!$E$19</f>
        <v>0</v>
      </c>
      <c r="AA19" s="12">
        <f>'Tabel Input-Output'!AA19*'Tabel Harga'!$E$19</f>
        <v>100000</v>
      </c>
      <c r="AB19" s="12">
        <f>'Tabel Input-Output'!AB19*'Tabel Harga'!$E$19</f>
        <v>0</v>
      </c>
      <c r="AC19" s="12">
        <f>'Tabel Input-Output'!AC19*'Tabel Harga'!$E$19</f>
        <v>0</v>
      </c>
      <c r="AD19" s="12">
        <f>'Tabel Input-Output'!AD19*'Tabel Harga'!$E$19</f>
        <v>0</v>
      </c>
      <c r="AE19" s="12">
        <f>'Tabel Input-Output'!AE19*'Tabel Harga'!$E$19</f>
        <v>0</v>
      </c>
      <c r="AF19" s="12">
        <f>'Tabel Input-Output'!AF19*'Tabel Harga'!$E$19</f>
        <v>100000</v>
      </c>
      <c r="AG19" s="12">
        <f>'Tabel Input-Output'!AG19*'Tabel Harga'!$E$19</f>
        <v>0</v>
      </c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</row>
    <row r="20" spans="2:49" x14ac:dyDescent="0.3">
      <c r="B20" s="35" t="s">
        <v>39</v>
      </c>
      <c r="C20" s="19" t="s">
        <v>5</v>
      </c>
      <c r="D20" s="12">
        <f>'Tabel Input-Output'!D20*'Tabel Harga'!$E$20</f>
        <v>150000</v>
      </c>
      <c r="E20" s="12">
        <f>'Tabel Input-Output'!E20*'Tabel Harga'!$E$20</f>
        <v>0</v>
      </c>
      <c r="F20" s="12">
        <f>'Tabel Input-Output'!F20*'Tabel Harga'!$E$20</f>
        <v>150000</v>
      </c>
      <c r="G20" s="12">
        <f>'Tabel Input-Output'!G20*'Tabel Harga'!$E$20</f>
        <v>0</v>
      </c>
      <c r="H20" s="12">
        <f>'Tabel Input-Output'!H20*'Tabel Harga'!$E$20</f>
        <v>150000</v>
      </c>
      <c r="I20" s="12">
        <f>'Tabel Input-Output'!I20*'Tabel Harga'!$E$20</f>
        <v>0</v>
      </c>
      <c r="J20" s="12">
        <f>'Tabel Input-Output'!J20*'Tabel Harga'!$E$20</f>
        <v>150000</v>
      </c>
      <c r="K20" s="12">
        <f>'Tabel Input-Output'!K20*'Tabel Harga'!$E$20</f>
        <v>0</v>
      </c>
      <c r="L20" s="12">
        <f>'Tabel Input-Output'!L20*'Tabel Harga'!$E$20</f>
        <v>150000</v>
      </c>
      <c r="M20" s="12">
        <f>'Tabel Input-Output'!M20*'Tabel Harga'!$E$20</f>
        <v>0</v>
      </c>
      <c r="N20" s="12">
        <f>'Tabel Input-Output'!N20*'Tabel Harga'!$E$20</f>
        <v>150000</v>
      </c>
      <c r="O20" s="12">
        <f>'Tabel Input-Output'!O20*'Tabel Harga'!$E$20</f>
        <v>0</v>
      </c>
      <c r="P20" s="12">
        <f>'Tabel Input-Output'!P20*'Tabel Harga'!$E$20</f>
        <v>150000</v>
      </c>
      <c r="Q20" s="12">
        <f>'Tabel Input-Output'!Q20*'Tabel Harga'!$E$20</f>
        <v>0</v>
      </c>
      <c r="R20" s="12">
        <f>'Tabel Input-Output'!R20*'Tabel Harga'!$E$20</f>
        <v>150000</v>
      </c>
      <c r="S20" s="12">
        <f>'Tabel Input-Output'!S20*'Tabel Harga'!$E$20</f>
        <v>0</v>
      </c>
      <c r="T20" s="12">
        <f>'Tabel Input-Output'!T20*'Tabel Harga'!$E$20</f>
        <v>150000</v>
      </c>
      <c r="U20" s="12">
        <f>'Tabel Input-Output'!U20*'Tabel Harga'!$E$20</f>
        <v>0</v>
      </c>
      <c r="V20" s="12">
        <f>'Tabel Input-Output'!V20*'Tabel Harga'!$E$20</f>
        <v>150000</v>
      </c>
      <c r="W20" s="12">
        <f>'Tabel Input-Output'!W20*'Tabel Harga'!$E$20</f>
        <v>0</v>
      </c>
      <c r="X20" s="12">
        <f>'Tabel Input-Output'!X20*'Tabel Harga'!$E$20</f>
        <v>150000</v>
      </c>
      <c r="Y20" s="12">
        <f>'Tabel Input-Output'!Y20*'Tabel Harga'!$E$20</f>
        <v>0</v>
      </c>
      <c r="Z20" s="12">
        <f>'Tabel Input-Output'!Z20*'Tabel Harga'!$E$20</f>
        <v>150000</v>
      </c>
      <c r="AA20" s="12">
        <f>'Tabel Input-Output'!AA20*'Tabel Harga'!$E$20</f>
        <v>0</v>
      </c>
      <c r="AB20" s="12">
        <f>'Tabel Input-Output'!AB20*'Tabel Harga'!$E$20</f>
        <v>150000</v>
      </c>
      <c r="AC20" s="12">
        <f>'Tabel Input-Output'!AC20*'Tabel Harga'!$E$20</f>
        <v>0</v>
      </c>
      <c r="AD20" s="12">
        <f>'Tabel Input-Output'!AD20*'Tabel Harga'!$E$20</f>
        <v>150000</v>
      </c>
      <c r="AE20" s="12">
        <f>'Tabel Input-Output'!AE20*'Tabel Harga'!$E$20</f>
        <v>0</v>
      </c>
      <c r="AF20" s="12">
        <f>'Tabel Input-Output'!AF20*'Tabel Harga'!$E$20</f>
        <v>150000</v>
      </c>
      <c r="AG20" s="12">
        <f>'Tabel Input-Output'!AG20*'Tabel Harga'!$E$20</f>
        <v>0</v>
      </c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</row>
    <row r="21" spans="2:49" x14ac:dyDescent="0.3">
      <c r="B21" s="86" t="s">
        <v>92</v>
      </c>
      <c r="C21" s="19" t="s">
        <v>5</v>
      </c>
      <c r="D21" s="12">
        <f>'Tabel Input-Output'!D21*'Tabel Harga'!$E$21</f>
        <v>300000</v>
      </c>
      <c r="E21" s="12">
        <f>'Tabel Input-Output'!E21*'Tabel Harga'!$E$21</f>
        <v>0</v>
      </c>
      <c r="F21" s="12">
        <f>'Tabel Input-Output'!F21*'Tabel Harga'!$E$21</f>
        <v>0</v>
      </c>
      <c r="G21" s="12">
        <f>'Tabel Input-Output'!G21*'Tabel Harga'!$E$21</f>
        <v>0</v>
      </c>
      <c r="H21" s="12">
        <f>'Tabel Input-Output'!H21*'Tabel Harga'!$E$21</f>
        <v>0</v>
      </c>
      <c r="I21" s="12">
        <f>'Tabel Input-Output'!I21*'Tabel Harga'!$E$21</f>
        <v>0</v>
      </c>
      <c r="J21" s="12">
        <f>'Tabel Input-Output'!J21*'Tabel Harga'!$E$21</f>
        <v>0</v>
      </c>
      <c r="K21" s="12">
        <f>'Tabel Input-Output'!K21*'Tabel Harga'!$E$21</f>
        <v>0</v>
      </c>
      <c r="L21" s="12">
        <f>'Tabel Input-Output'!L21*'Tabel Harga'!$E$21</f>
        <v>0</v>
      </c>
      <c r="M21" s="12">
        <f>'Tabel Input-Output'!M21*'Tabel Harga'!$E$21</f>
        <v>300000</v>
      </c>
      <c r="N21" s="12">
        <f>'Tabel Input-Output'!N21*'Tabel Harga'!$E$21</f>
        <v>0</v>
      </c>
      <c r="O21" s="12">
        <f>'Tabel Input-Output'!O21*'Tabel Harga'!$E$21</f>
        <v>0</v>
      </c>
      <c r="P21" s="12">
        <f>'Tabel Input-Output'!P21*'Tabel Harga'!$E$21</f>
        <v>0</v>
      </c>
      <c r="Q21" s="12">
        <f>'Tabel Input-Output'!Q21*'Tabel Harga'!$E$21</f>
        <v>0</v>
      </c>
      <c r="R21" s="12">
        <f>'Tabel Input-Output'!R21*'Tabel Harga'!$E$21</f>
        <v>0</v>
      </c>
      <c r="S21" s="12">
        <f>'Tabel Input-Output'!S21*'Tabel Harga'!$E$21</f>
        <v>0</v>
      </c>
      <c r="T21" s="12">
        <f>'Tabel Input-Output'!T21*'Tabel Harga'!$E$21</f>
        <v>0</v>
      </c>
      <c r="U21" s="12">
        <f>'Tabel Input-Output'!U21*'Tabel Harga'!$E$21</f>
        <v>0</v>
      </c>
      <c r="V21" s="12">
        <f>'Tabel Input-Output'!V21*'Tabel Harga'!$E$21</f>
        <v>0</v>
      </c>
      <c r="W21" s="12">
        <f>'Tabel Input-Output'!W21*'Tabel Harga'!$E$21</f>
        <v>300000</v>
      </c>
      <c r="X21" s="12">
        <f>'Tabel Input-Output'!X21*'Tabel Harga'!$E$21</f>
        <v>0</v>
      </c>
      <c r="Y21" s="12">
        <f>'Tabel Input-Output'!Y21*'Tabel Harga'!$E$21</f>
        <v>0</v>
      </c>
      <c r="Z21" s="12">
        <f>'Tabel Input-Output'!Z21*'Tabel Harga'!$E$21</f>
        <v>0</v>
      </c>
      <c r="AA21" s="12">
        <f>'Tabel Input-Output'!AA21*'Tabel Harga'!$E$21</f>
        <v>0</v>
      </c>
      <c r="AB21" s="12">
        <f>'Tabel Input-Output'!AB21*'Tabel Harga'!$E$21</f>
        <v>0</v>
      </c>
      <c r="AC21" s="12">
        <f>'Tabel Input-Output'!AC21*'Tabel Harga'!$E$21</f>
        <v>0</v>
      </c>
      <c r="AD21" s="12">
        <f>'Tabel Input-Output'!AD21*'Tabel Harga'!$E$21</f>
        <v>0</v>
      </c>
      <c r="AE21" s="12">
        <f>'Tabel Input-Output'!AE21*'Tabel Harga'!$E$21</f>
        <v>0</v>
      </c>
      <c r="AF21" s="12">
        <f>'Tabel Input-Output'!AF21*'Tabel Harga'!$E$21</f>
        <v>0</v>
      </c>
      <c r="AG21" s="12">
        <f>'Tabel Input-Output'!AG21*'Tabel Harga'!$E$21</f>
        <v>300000</v>
      </c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</row>
    <row r="22" spans="2:49" x14ac:dyDescent="0.3">
      <c r="B22" s="86" t="s">
        <v>93</v>
      </c>
      <c r="C22" s="19" t="s">
        <v>5</v>
      </c>
      <c r="D22" s="12">
        <f>'Tabel Input-Output'!D22*'Tabel Harga'!$E$22</f>
        <v>20000</v>
      </c>
      <c r="E22" s="12">
        <f>'Tabel Input-Output'!E22*'Tabel Harga'!$E$22</f>
        <v>0</v>
      </c>
      <c r="F22" s="12">
        <f>'Tabel Input-Output'!F22*'Tabel Harga'!$E$22</f>
        <v>20000</v>
      </c>
      <c r="G22" s="12">
        <f>'Tabel Input-Output'!G22*'Tabel Harga'!$E$22</f>
        <v>0</v>
      </c>
      <c r="H22" s="12">
        <f>'Tabel Input-Output'!H22*'Tabel Harga'!$E$22</f>
        <v>20000</v>
      </c>
      <c r="I22" s="12">
        <f>'Tabel Input-Output'!I22*'Tabel Harga'!$E$22</f>
        <v>0</v>
      </c>
      <c r="J22" s="12">
        <f>'Tabel Input-Output'!J22*'Tabel Harga'!$E$22</f>
        <v>20000</v>
      </c>
      <c r="K22" s="12">
        <f>'Tabel Input-Output'!K22*'Tabel Harga'!$E$22</f>
        <v>0</v>
      </c>
      <c r="L22" s="12">
        <f>'Tabel Input-Output'!L22*'Tabel Harga'!$E$22</f>
        <v>20000</v>
      </c>
      <c r="M22" s="12">
        <f>'Tabel Input-Output'!M22*'Tabel Harga'!$E$22</f>
        <v>0</v>
      </c>
      <c r="N22" s="12">
        <f>'Tabel Input-Output'!N22*'Tabel Harga'!$E$22</f>
        <v>20000</v>
      </c>
      <c r="O22" s="12">
        <f>'Tabel Input-Output'!O22*'Tabel Harga'!$E$22</f>
        <v>0</v>
      </c>
      <c r="P22" s="12">
        <f>'Tabel Input-Output'!P22*'Tabel Harga'!$E$22</f>
        <v>20000</v>
      </c>
      <c r="Q22" s="12">
        <f>'Tabel Input-Output'!Q22*'Tabel Harga'!$E$22</f>
        <v>0</v>
      </c>
      <c r="R22" s="12">
        <f>'Tabel Input-Output'!R22*'Tabel Harga'!$E$22</f>
        <v>20000</v>
      </c>
      <c r="S22" s="12">
        <f>'Tabel Input-Output'!S22*'Tabel Harga'!$E$22</f>
        <v>0</v>
      </c>
      <c r="T22" s="12">
        <f>'Tabel Input-Output'!T22*'Tabel Harga'!$E$22</f>
        <v>20000</v>
      </c>
      <c r="U22" s="12">
        <f>'Tabel Input-Output'!U22*'Tabel Harga'!$E$22</f>
        <v>0</v>
      </c>
      <c r="V22" s="12">
        <f>'Tabel Input-Output'!V22*'Tabel Harga'!$E$22</f>
        <v>20000</v>
      </c>
      <c r="W22" s="12">
        <f>'Tabel Input-Output'!W22*'Tabel Harga'!$E$22</f>
        <v>0</v>
      </c>
      <c r="X22" s="12">
        <f>'Tabel Input-Output'!X22*'Tabel Harga'!$E$22</f>
        <v>20000</v>
      </c>
      <c r="Y22" s="12">
        <f>'Tabel Input-Output'!Y22*'Tabel Harga'!$E$22</f>
        <v>0</v>
      </c>
      <c r="Z22" s="12">
        <f>'Tabel Input-Output'!Z22*'Tabel Harga'!$E$22</f>
        <v>20000</v>
      </c>
      <c r="AA22" s="12">
        <f>'Tabel Input-Output'!AA22*'Tabel Harga'!$E$22</f>
        <v>0</v>
      </c>
      <c r="AB22" s="12">
        <f>'Tabel Input-Output'!AB22*'Tabel Harga'!$E$22</f>
        <v>20000</v>
      </c>
      <c r="AC22" s="12">
        <f>'Tabel Input-Output'!AC22*'Tabel Harga'!$E$22</f>
        <v>0</v>
      </c>
      <c r="AD22" s="12">
        <f>'Tabel Input-Output'!AD22*'Tabel Harga'!$E$22</f>
        <v>20000</v>
      </c>
      <c r="AE22" s="12">
        <f>'Tabel Input-Output'!AE22*'Tabel Harga'!$E$22</f>
        <v>0</v>
      </c>
      <c r="AF22" s="12">
        <f>'Tabel Input-Output'!AF22*'Tabel Harga'!$E$22</f>
        <v>20000</v>
      </c>
      <c r="AG22" s="12">
        <f>'Tabel Input-Output'!AG22*'Tabel Harga'!$E$22</f>
        <v>0</v>
      </c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</row>
    <row r="23" spans="2:49" x14ac:dyDescent="0.3">
      <c r="B23" s="86" t="s">
        <v>106</v>
      </c>
      <c r="C23" s="19" t="s">
        <v>5</v>
      </c>
      <c r="D23" s="12">
        <f>'Tabel Input-Output'!D23*'Tabel Harga'!$E$23</f>
        <v>0</v>
      </c>
      <c r="E23" s="12">
        <f>'Tabel Input-Output'!E23*'Tabel Harga'!$E$23</f>
        <v>0</v>
      </c>
      <c r="F23" s="12">
        <f>'Tabel Input-Output'!F23*'Tabel Harga'!$E$23</f>
        <v>0</v>
      </c>
      <c r="G23" s="12">
        <f>'Tabel Input-Output'!G23*'Tabel Harga'!$E$23</f>
        <v>40000</v>
      </c>
      <c r="H23" s="12">
        <f>'Tabel Input-Output'!H23*'Tabel Harga'!$E$23</f>
        <v>40000</v>
      </c>
      <c r="I23" s="12">
        <f>'Tabel Input-Output'!I23*'Tabel Harga'!$E$23</f>
        <v>40000</v>
      </c>
      <c r="J23" s="12">
        <f>'Tabel Input-Output'!J23*'Tabel Harga'!$E$23</f>
        <v>40000</v>
      </c>
      <c r="K23" s="12">
        <f>'Tabel Input-Output'!K23*'Tabel Harga'!$E$23</f>
        <v>40000</v>
      </c>
      <c r="L23" s="12">
        <f>'Tabel Input-Output'!L23*'Tabel Harga'!$E$23</f>
        <v>40000</v>
      </c>
      <c r="M23" s="12">
        <f>'Tabel Input-Output'!M23*'Tabel Harga'!$E$23</f>
        <v>40000</v>
      </c>
      <c r="N23" s="12">
        <f>'Tabel Input-Output'!N23*'Tabel Harga'!$E$23</f>
        <v>40000</v>
      </c>
      <c r="O23" s="12">
        <f>'Tabel Input-Output'!O23*'Tabel Harga'!$E$23</f>
        <v>40000</v>
      </c>
      <c r="P23" s="12">
        <f>'Tabel Input-Output'!P23*'Tabel Harga'!$E$23</f>
        <v>40000</v>
      </c>
      <c r="Q23" s="12">
        <f>'Tabel Input-Output'!Q23*'Tabel Harga'!$E$23</f>
        <v>40000</v>
      </c>
      <c r="R23" s="12">
        <f>'Tabel Input-Output'!R23*'Tabel Harga'!$E$23</f>
        <v>40000</v>
      </c>
      <c r="S23" s="12">
        <f>'Tabel Input-Output'!S23*'Tabel Harga'!$E$23</f>
        <v>40000</v>
      </c>
      <c r="T23" s="12">
        <f>'Tabel Input-Output'!T23*'Tabel Harga'!$E$23</f>
        <v>40000</v>
      </c>
      <c r="U23" s="12">
        <f>'Tabel Input-Output'!U23*'Tabel Harga'!$E$23</f>
        <v>40000</v>
      </c>
      <c r="V23" s="12">
        <f>'Tabel Input-Output'!V23*'Tabel Harga'!$E$23</f>
        <v>40000</v>
      </c>
      <c r="W23" s="12">
        <f>'Tabel Input-Output'!W23*'Tabel Harga'!$E$23</f>
        <v>40000</v>
      </c>
      <c r="X23" s="12">
        <f>'Tabel Input-Output'!X23*'Tabel Harga'!$E$23</f>
        <v>40000</v>
      </c>
      <c r="Y23" s="12">
        <f>'Tabel Input-Output'!Y23*'Tabel Harga'!$E$23</f>
        <v>40000</v>
      </c>
      <c r="Z23" s="12">
        <f>'Tabel Input-Output'!Z23*'Tabel Harga'!$E$23</f>
        <v>40000</v>
      </c>
      <c r="AA23" s="12">
        <f>'Tabel Input-Output'!AA23*'Tabel Harga'!$E$23</f>
        <v>40000</v>
      </c>
      <c r="AB23" s="12">
        <f>'Tabel Input-Output'!AB23*'Tabel Harga'!$E$23</f>
        <v>40000</v>
      </c>
      <c r="AC23" s="12">
        <f>'Tabel Input-Output'!AC23*'Tabel Harga'!$E$23</f>
        <v>40000</v>
      </c>
      <c r="AD23" s="12">
        <f>'Tabel Input-Output'!AD23*'Tabel Harga'!$E$23</f>
        <v>40000</v>
      </c>
      <c r="AE23" s="12">
        <f>'Tabel Input-Output'!AE23*'Tabel Harga'!$E$23</f>
        <v>40000</v>
      </c>
      <c r="AF23" s="12">
        <f>'Tabel Input-Output'!AF23*'Tabel Harga'!$E$23</f>
        <v>40000</v>
      </c>
      <c r="AG23" s="12">
        <f>'Tabel Input-Output'!AG23*'Tabel Harga'!$E$23</f>
        <v>40000</v>
      </c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</row>
    <row r="24" spans="2:49" x14ac:dyDescent="0.3">
      <c r="B24" s="86"/>
      <c r="C24" s="19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</row>
    <row r="25" spans="2:49" x14ac:dyDescent="0.3">
      <c r="B25" s="16" t="s">
        <v>37</v>
      </c>
      <c r="C25" s="19"/>
      <c r="D25" s="12"/>
      <c r="E25" s="10"/>
      <c r="F25" s="10"/>
      <c r="G25" s="10"/>
      <c r="H25" s="12"/>
      <c r="I25" s="12"/>
      <c r="J25" s="12"/>
      <c r="K25" s="13"/>
      <c r="L25" s="12"/>
      <c r="M25" s="12"/>
      <c r="N25" s="13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</row>
    <row r="26" spans="2:49" x14ac:dyDescent="0.3">
      <c r="B26" s="86" t="s">
        <v>40</v>
      </c>
      <c r="C26" s="19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</row>
    <row r="27" spans="2:49" x14ac:dyDescent="0.3">
      <c r="B27" s="91" t="s">
        <v>98</v>
      </c>
      <c r="C27" s="19" t="s">
        <v>5</v>
      </c>
      <c r="D27" s="12">
        <f>'Tabel Input-Output'!D27*'Tabel Harga'!$E$27</f>
        <v>1680000</v>
      </c>
      <c r="E27" s="12">
        <f>'Tabel Input-Output'!E27*'Tabel Harga'!$E$27</f>
        <v>0</v>
      </c>
      <c r="F27" s="12">
        <f>'Tabel Input-Output'!F27*'Tabel Harga'!$E$27</f>
        <v>0</v>
      </c>
      <c r="G27" s="12">
        <f>'Tabel Input-Output'!G27*'Tabel Harga'!$E$27</f>
        <v>0</v>
      </c>
      <c r="H27" s="12">
        <f>'Tabel Input-Output'!H27*'Tabel Harga'!$E$27</f>
        <v>0</v>
      </c>
      <c r="I27" s="12">
        <f>'Tabel Input-Output'!I27*'Tabel Harga'!$E$27</f>
        <v>0</v>
      </c>
      <c r="J27" s="12">
        <f>'Tabel Input-Output'!J27*'Tabel Harga'!$E$27</f>
        <v>0</v>
      </c>
      <c r="K27" s="12">
        <f>'Tabel Input-Output'!K27*'Tabel Harga'!$E$27</f>
        <v>0</v>
      </c>
      <c r="L27" s="12">
        <f>'Tabel Input-Output'!L27*'Tabel Harga'!$E$27</f>
        <v>0</v>
      </c>
      <c r="M27" s="12">
        <f>'Tabel Input-Output'!M27*'Tabel Harga'!$E$27</f>
        <v>0</v>
      </c>
      <c r="N27" s="12">
        <f>'Tabel Input-Output'!N27*'Tabel Harga'!$E$27</f>
        <v>0</v>
      </c>
      <c r="O27" s="12">
        <f>'Tabel Input-Output'!O27*'Tabel Harga'!$E$27</f>
        <v>0</v>
      </c>
      <c r="P27" s="12">
        <f>'Tabel Input-Output'!P27*'Tabel Harga'!$E$27</f>
        <v>0</v>
      </c>
      <c r="Q27" s="12">
        <f>'Tabel Input-Output'!Q27*'Tabel Harga'!$E$27</f>
        <v>0</v>
      </c>
      <c r="R27" s="12">
        <f>'Tabel Input-Output'!R27*'Tabel Harga'!$E$27</f>
        <v>0</v>
      </c>
      <c r="S27" s="12">
        <f>'Tabel Input-Output'!S27*'Tabel Harga'!$E$27</f>
        <v>0</v>
      </c>
      <c r="T27" s="12">
        <f>'Tabel Input-Output'!T27*'Tabel Harga'!$E$27</f>
        <v>0</v>
      </c>
      <c r="U27" s="12">
        <f>'Tabel Input-Output'!U27*'Tabel Harga'!$E$27</f>
        <v>0</v>
      </c>
      <c r="V27" s="12">
        <f>'Tabel Input-Output'!V27*'Tabel Harga'!$E$27</f>
        <v>0</v>
      </c>
      <c r="W27" s="12">
        <f>'Tabel Input-Output'!W27*'Tabel Harga'!$E$27</f>
        <v>0</v>
      </c>
      <c r="X27" s="12">
        <f>'Tabel Input-Output'!X27*'Tabel Harga'!$E$27</f>
        <v>0</v>
      </c>
      <c r="Y27" s="12">
        <f>'Tabel Input-Output'!Y27*'Tabel Harga'!$E$27</f>
        <v>0</v>
      </c>
      <c r="Z27" s="12">
        <f>'Tabel Input-Output'!Z27*'Tabel Harga'!$E$27</f>
        <v>0</v>
      </c>
      <c r="AA27" s="12">
        <f>'Tabel Input-Output'!AA27*'Tabel Harga'!$E$27</f>
        <v>0</v>
      </c>
      <c r="AB27" s="12">
        <f>'Tabel Input-Output'!AB27*'Tabel Harga'!$E$27</f>
        <v>0</v>
      </c>
      <c r="AC27" s="12">
        <f>'Tabel Input-Output'!AC27*'Tabel Harga'!$E$27</f>
        <v>0</v>
      </c>
      <c r="AD27" s="12">
        <f>'Tabel Input-Output'!AD27*'Tabel Harga'!$E$27</f>
        <v>0</v>
      </c>
      <c r="AE27" s="12">
        <f>'Tabel Input-Output'!AE27*'Tabel Harga'!$E$27</f>
        <v>0</v>
      </c>
      <c r="AF27" s="12">
        <f>'Tabel Input-Output'!AF27*'Tabel Harga'!$E$27</f>
        <v>0</v>
      </c>
      <c r="AG27" s="12">
        <f>'Tabel Input-Output'!AG27*'Tabel Harga'!$E$27</f>
        <v>0</v>
      </c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</row>
    <row r="28" spans="2:49" x14ac:dyDescent="0.3">
      <c r="B28" s="91" t="s">
        <v>97</v>
      </c>
      <c r="C28" s="19" t="s">
        <v>5</v>
      </c>
      <c r="D28" s="12">
        <f>'Tabel Input-Output'!D28*'Tabel Harga'!$E$28</f>
        <v>70000</v>
      </c>
      <c r="E28" s="12">
        <f>'Tabel Input-Output'!E28*'Tabel Harga'!$E$28</f>
        <v>0</v>
      </c>
      <c r="F28" s="12">
        <f>'Tabel Input-Output'!F28*'Tabel Harga'!$E$28</f>
        <v>0</v>
      </c>
      <c r="G28" s="12">
        <f>'Tabel Input-Output'!G28*'Tabel Harga'!$E$28</f>
        <v>0</v>
      </c>
      <c r="H28" s="12">
        <f>'Tabel Input-Output'!H28*'Tabel Harga'!$E$28</f>
        <v>0</v>
      </c>
      <c r="I28" s="12">
        <f>'Tabel Input-Output'!I28*'Tabel Harga'!$E$28</f>
        <v>0</v>
      </c>
      <c r="J28" s="12">
        <f>'Tabel Input-Output'!J28*'Tabel Harga'!$E$28</f>
        <v>0</v>
      </c>
      <c r="K28" s="12">
        <f>'Tabel Input-Output'!K28*'Tabel Harga'!$E$28</f>
        <v>0</v>
      </c>
      <c r="L28" s="12">
        <f>'Tabel Input-Output'!L28*'Tabel Harga'!$E$28</f>
        <v>0</v>
      </c>
      <c r="M28" s="12">
        <f>'Tabel Input-Output'!M28*'Tabel Harga'!$E$28</f>
        <v>0</v>
      </c>
      <c r="N28" s="12">
        <f>'Tabel Input-Output'!N28*'Tabel Harga'!$E$28</f>
        <v>0</v>
      </c>
      <c r="O28" s="12">
        <f>'Tabel Input-Output'!O28*'Tabel Harga'!$E$28</f>
        <v>0</v>
      </c>
      <c r="P28" s="12">
        <f>'Tabel Input-Output'!P28*'Tabel Harga'!$E$28</f>
        <v>0</v>
      </c>
      <c r="Q28" s="12">
        <f>'Tabel Input-Output'!Q28*'Tabel Harga'!$E$28</f>
        <v>0</v>
      </c>
      <c r="R28" s="12">
        <f>'Tabel Input-Output'!R28*'Tabel Harga'!$E$28</f>
        <v>0</v>
      </c>
      <c r="S28" s="12">
        <f>'Tabel Input-Output'!S28*'Tabel Harga'!$E$28</f>
        <v>0</v>
      </c>
      <c r="T28" s="12">
        <f>'Tabel Input-Output'!T28*'Tabel Harga'!$E$28</f>
        <v>0</v>
      </c>
      <c r="U28" s="12">
        <f>'Tabel Input-Output'!U28*'Tabel Harga'!$E$28</f>
        <v>0</v>
      </c>
      <c r="V28" s="12">
        <f>'Tabel Input-Output'!V28*'Tabel Harga'!$E$28</f>
        <v>0</v>
      </c>
      <c r="W28" s="12">
        <f>'Tabel Input-Output'!W28*'Tabel Harga'!$E$28</f>
        <v>0</v>
      </c>
      <c r="X28" s="12">
        <f>'Tabel Input-Output'!X28*'Tabel Harga'!$E$28</f>
        <v>0</v>
      </c>
      <c r="Y28" s="12">
        <f>'Tabel Input-Output'!Y28*'Tabel Harga'!$E$28</f>
        <v>0</v>
      </c>
      <c r="Z28" s="12">
        <f>'Tabel Input-Output'!Z28*'Tabel Harga'!$E$28</f>
        <v>0</v>
      </c>
      <c r="AA28" s="12">
        <f>'Tabel Input-Output'!AA28*'Tabel Harga'!$E$28</f>
        <v>0</v>
      </c>
      <c r="AB28" s="12">
        <f>'Tabel Input-Output'!AB28*'Tabel Harga'!$E$28</f>
        <v>0</v>
      </c>
      <c r="AC28" s="12">
        <f>'Tabel Input-Output'!AC28*'Tabel Harga'!$E$28</f>
        <v>0</v>
      </c>
      <c r="AD28" s="12">
        <f>'Tabel Input-Output'!AD28*'Tabel Harga'!$E$28</f>
        <v>0</v>
      </c>
      <c r="AE28" s="12">
        <f>'Tabel Input-Output'!AE28*'Tabel Harga'!$E$28</f>
        <v>0</v>
      </c>
      <c r="AF28" s="12">
        <f>'Tabel Input-Output'!AF28*'Tabel Harga'!$E$28</f>
        <v>0</v>
      </c>
      <c r="AG28" s="12">
        <f>'Tabel Input-Output'!AG28*'Tabel Harga'!$E$28</f>
        <v>0</v>
      </c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</row>
    <row r="29" spans="2:49" x14ac:dyDescent="0.3">
      <c r="B29" s="86" t="s">
        <v>84</v>
      </c>
      <c r="C29" s="19" t="s">
        <v>5</v>
      </c>
      <c r="D29" s="12">
        <f>'Tabel Input-Output'!D29*'Tabel Harga'!$E$29</f>
        <v>490000</v>
      </c>
      <c r="E29" s="12">
        <f>'Tabel Input-Output'!E29*'Tabel Harga'!$E$29</f>
        <v>0</v>
      </c>
      <c r="F29" s="12">
        <f>'Tabel Input-Output'!F29*'Tabel Harga'!$E$29</f>
        <v>0</v>
      </c>
      <c r="G29" s="12">
        <f>'Tabel Input-Output'!G29*'Tabel Harga'!$E$29</f>
        <v>0</v>
      </c>
      <c r="H29" s="12">
        <f>'Tabel Input-Output'!H29*'Tabel Harga'!$E$29</f>
        <v>0</v>
      </c>
      <c r="I29" s="12">
        <f>'Tabel Input-Output'!I29*'Tabel Harga'!$E$29</f>
        <v>0</v>
      </c>
      <c r="J29" s="12">
        <f>'Tabel Input-Output'!J29*'Tabel Harga'!$E$29</f>
        <v>0</v>
      </c>
      <c r="K29" s="12">
        <f>'Tabel Input-Output'!K29*'Tabel Harga'!$E$29</f>
        <v>0</v>
      </c>
      <c r="L29" s="12">
        <f>'Tabel Input-Output'!L29*'Tabel Harga'!$E$29</f>
        <v>0</v>
      </c>
      <c r="M29" s="12">
        <f>'Tabel Input-Output'!M29*'Tabel Harga'!$E$29</f>
        <v>0</v>
      </c>
      <c r="N29" s="12">
        <f>'Tabel Input-Output'!N29*'Tabel Harga'!$E$29</f>
        <v>0</v>
      </c>
      <c r="O29" s="12">
        <f>'Tabel Input-Output'!O29*'Tabel Harga'!$E$29</f>
        <v>0</v>
      </c>
      <c r="P29" s="12">
        <f>'Tabel Input-Output'!P29*'Tabel Harga'!$E$29</f>
        <v>0</v>
      </c>
      <c r="Q29" s="12">
        <f>'Tabel Input-Output'!Q29*'Tabel Harga'!$E$29</f>
        <v>0</v>
      </c>
      <c r="R29" s="12">
        <f>'Tabel Input-Output'!R29*'Tabel Harga'!$E$29</f>
        <v>0</v>
      </c>
      <c r="S29" s="12">
        <f>'Tabel Input-Output'!S29*'Tabel Harga'!$E$29</f>
        <v>0</v>
      </c>
      <c r="T29" s="12">
        <f>'Tabel Input-Output'!T29*'Tabel Harga'!$E$29</f>
        <v>0</v>
      </c>
      <c r="U29" s="12">
        <f>'Tabel Input-Output'!U29*'Tabel Harga'!$E$29</f>
        <v>0</v>
      </c>
      <c r="V29" s="12">
        <f>'Tabel Input-Output'!V29*'Tabel Harga'!$E$29</f>
        <v>0</v>
      </c>
      <c r="W29" s="12">
        <f>'Tabel Input-Output'!W29*'Tabel Harga'!$E$29</f>
        <v>0</v>
      </c>
      <c r="X29" s="12">
        <f>'Tabel Input-Output'!X29*'Tabel Harga'!$E$29</f>
        <v>0</v>
      </c>
      <c r="Y29" s="12">
        <f>'Tabel Input-Output'!Y29*'Tabel Harga'!$E$29</f>
        <v>0</v>
      </c>
      <c r="Z29" s="12">
        <f>'Tabel Input-Output'!Z29*'Tabel Harga'!$E$29</f>
        <v>0</v>
      </c>
      <c r="AA29" s="12">
        <f>'Tabel Input-Output'!AA29*'Tabel Harga'!$E$29</f>
        <v>0</v>
      </c>
      <c r="AB29" s="12">
        <f>'Tabel Input-Output'!AB29*'Tabel Harga'!$E$29</f>
        <v>0</v>
      </c>
      <c r="AC29" s="12">
        <f>'Tabel Input-Output'!AC29*'Tabel Harga'!$E$29</f>
        <v>0</v>
      </c>
      <c r="AD29" s="12">
        <f>'Tabel Input-Output'!AD29*'Tabel Harga'!$E$29</f>
        <v>0</v>
      </c>
      <c r="AE29" s="12">
        <f>'Tabel Input-Output'!AE29*'Tabel Harga'!$E$29</f>
        <v>0</v>
      </c>
      <c r="AF29" s="12">
        <f>'Tabel Input-Output'!AF29*'Tabel Harga'!$E$29</f>
        <v>0</v>
      </c>
      <c r="AG29" s="12">
        <f>'Tabel Input-Output'!AG29*'Tabel Harga'!$E$29</f>
        <v>0</v>
      </c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</row>
    <row r="30" spans="2:49" x14ac:dyDescent="0.3">
      <c r="B30" s="86" t="s">
        <v>85</v>
      </c>
      <c r="C30" s="19" t="s">
        <v>5</v>
      </c>
      <c r="D30" s="12">
        <f>'Tabel Input-Output'!D30*'Tabel Harga'!$E$30</f>
        <v>0</v>
      </c>
      <c r="E30" s="12">
        <f>'Tabel Input-Output'!E30*'Tabel Harga'!$E$30</f>
        <v>210000</v>
      </c>
      <c r="F30" s="12">
        <f>'Tabel Input-Output'!F30*'Tabel Harga'!$E$30</f>
        <v>210000</v>
      </c>
      <c r="G30" s="12">
        <f>'Tabel Input-Output'!G30*'Tabel Harga'!$E$30</f>
        <v>210000</v>
      </c>
      <c r="H30" s="12">
        <f>'Tabel Input-Output'!H30*'Tabel Harga'!$E$30</f>
        <v>210000</v>
      </c>
      <c r="I30" s="12">
        <f>'Tabel Input-Output'!I30*'Tabel Harga'!$E$30</f>
        <v>210000</v>
      </c>
      <c r="J30" s="12">
        <f>'Tabel Input-Output'!J30*'Tabel Harga'!$E$30</f>
        <v>210000</v>
      </c>
      <c r="K30" s="12">
        <f>'Tabel Input-Output'!K30*'Tabel Harga'!$E$30</f>
        <v>210000</v>
      </c>
      <c r="L30" s="12">
        <f>'Tabel Input-Output'!L30*'Tabel Harga'!$E$30</f>
        <v>210000</v>
      </c>
      <c r="M30" s="12">
        <f>'Tabel Input-Output'!M30*'Tabel Harga'!$E$30</f>
        <v>210000</v>
      </c>
      <c r="N30" s="12">
        <f>'Tabel Input-Output'!N30*'Tabel Harga'!$E$30</f>
        <v>210000</v>
      </c>
      <c r="O30" s="12">
        <f>'Tabel Input-Output'!O30*'Tabel Harga'!$E$30</f>
        <v>210000</v>
      </c>
      <c r="P30" s="12">
        <f>'Tabel Input-Output'!P30*'Tabel Harga'!$E$30</f>
        <v>210000</v>
      </c>
      <c r="Q30" s="12">
        <f>'Tabel Input-Output'!Q30*'Tabel Harga'!$E$30</f>
        <v>210000</v>
      </c>
      <c r="R30" s="12">
        <f>'Tabel Input-Output'!R30*'Tabel Harga'!$E$30</f>
        <v>210000</v>
      </c>
      <c r="S30" s="12">
        <f>'Tabel Input-Output'!S30*'Tabel Harga'!$E$30</f>
        <v>210000</v>
      </c>
      <c r="T30" s="12">
        <f>'Tabel Input-Output'!T30*'Tabel Harga'!$E$30</f>
        <v>210000</v>
      </c>
      <c r="U30" s="12">
        <f>'Tabel Input-Output'!U30*'Tabel Harga'!$E$30</f>
        <v>210000</v>
      </c>
      <c r="V30" s="12">
        <f>'Tabel Input-Output'!V30*'Tabel Harga'!$E$30</f>
        <v>210000</v>
      </c>
      <c r="W30" s="12">
        <f>'Tabel Input-Output'!W30*'Tabel Harga'!$E$30</f>
        <v>210000</v>
      </c>
      <c r="X30" s="12">
        <f>'Tabel Input-Output'!X30*'Tabel Harga'!$E$30</f>
        <v>210000</v>
      </c>
      <c r="Y30" s="12">
        <f>'Tabel Input-Output'!Y30*'Tabel Harga'!$E$30</f>
        <v>210000</v>
      </c>
      <c r="Z30" s="12">
        <f>'Tabel Input-Output'!Z30*'Tabel Harga'!$E$30</f>
        <v>210000</v>
      </c>
      <c r="AA30" s="12">
        <f>'Tabel Input-Output'!AA30*'Tabel Harga'!$E$30</f>
        <v>210000</v>
      </c>
      <c r="AB30" s="12">
        <f>'Tabel Input-Output'!AB30*'Tabel Harga'!$E$30</f>
        <v>210000</v>
      </c>
      <c r="AC30" s="12">
        <f>'Tabel Input-Output'!AC30*'Tabel Harga'!$E$30</f>
        <v>210000</v>
      </c>
      <c r="AD30" s="12">
        <f>'Tabel Input-Output'!AD30*'Tabel Harga'!$E$30</f>
        <v>210000</v>
      </c>
      <c r="AE30" s="12">
        <f>'Tabel Input-Output'!AE30*'Tabel Harga'!$E$30</f>
        <v>210000</v>
      </c>
      <c r="AF30" s="12">
        <f>'Tabel Input-Output'!AF30*'Tabel Harga'!$E$30</f>
        <v>210000</v>
      </c>
      <c r="AG30" s="12">
        <f>'Tabel Input-Output'!AG30*'Tabel Harga'!$E$30</f>
        <v>210000</v>
      </c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</row>
    <row r="31" spans="2:49" x14ac:dyDescent="0.3">
      <c r="B31" s="86" t="s">
        <v>109</v>
      </c>
      <c r="C31" s="19" t="s">
        <v>5</v>
      </c>
      <c r="D31" s="12">
        <f>'Tabel Input-Output'!D31*'Tabel Harga'!$E$31</f>
        <v>455000</v>
      </c>
      <c r="E31" s="12">
        <f>'Tabel Input-Output'!E31*'Tabel Harga'!$E$31</f>
        <v>0</v>
      </c>
      <c r="F31" s="12">
        <f>'Tabel Input-Output'!F31*'Tabel Harga'!$E$31</f>
        <v>0</v>
      </c>
      <c r="G31" s="12">
        <f>'Tabel Input-Output'!G31*'Tabel Harga'!$E$31</f>
        <v>0</v>
      </c>
      <c r="H31" s="12">
        <f>'Tabel Input-Output'!H31*'Tabel Harga'!$E$31</f>
        <v>0</v>
      </c>
      <c r="I31" s="12">
        <f>'Tabel Input-Output'!I31*'Tabel Harga'!$E$31</f>
        <v>0</v>
      </c>
      <c r="J31" s="12">
        <f>'Tabel Input-Output'!J31*'Tabel Harga'!$E$31</f>
        <v>0</v>
      </c>
      <c r="K31" s="12">
        <f>'Tabel Input-Output'!K31*'Tabel Harga'!$E$31</f>
        <v>0</v>
      </c>
      <c r="L31" s="12">
        <f>'Tabel Input-Output'!L31*'Tabel Harga'!$E$31</f>
        <v>0</v>
      </c>
      <c r="M31" s="12">
        <f>'Tabel Input-Output'!M31*'Tabel Harga'!$E$31</f>
        <v>0</v>
      </c>
      <c r="N31" s="12">
        <f>'Tabel Input-Output'!N31*'Tabel Harga'!$E$31</f>
        <v>0</v>
      </c>
      <c r="O31" s="12">
        <f>'Tabel Input-Output'!O31*'Tabel Harga'!$E$31</f>
        <v>0</v>
      </c>
      <c r="P31" s="12">
        <f>'Tabel Input-Output'!P31*'Tabel Harga'!$E$31</f>
        <v>0</v>
      </c>
      <c r="Q31" s="12">
        <f>'Tabel Input-Output'!Q31*'Tabel Harga'!$E$31</f>
        <v>0</v>
      </c>
      <c r="R31" s="12">
        <f>'Tabel Input-Output'!R31*'Tabel Harga'!$E$31</f>
        <v>0</v>
      </c>
      <c r="S31" s="12">
        <f>'Tabel Input-Output'!S31*'Tabel Harga'!$E$31</f>
        <v>0</v>
      </c>
      <c r="T31" s="12">
        <f>'Tabel Input-Output'!T31*'Tabel Harga'!$E$31</f>
        <v>0</v>
      </c>
      <c r="U31" s="12">
        <f>'Tabel Input-Output'!U31*'Tabel Harga'!$E$31</f>
        <v>0</v>
      </c>
      <c r="V31" s="12">
        <f>'Tabel Input-Output'!V31*'Tabel Harga'!$E$31</f>
        <v>0</v>
      </c>
      <c r="W31" s="12">
        <f>'Tabel Input-Output'!W31*'Tabel Harga'!$E$31</f>
        <v>0</v>
      </c>
      <c r="X31" s="12">
        <f>'Tabel Input-Output'!X31*'Tabel Harga'!$E$31</f>
        <v>0</v>
      </c>
      <c r="Y31" s="12">
        <f>'Tabel Input-Output'!Y31*'Tabel Harga'!$E$31</f>
        <v>0</v>
      </c>
      <c r="Z31" s="12">
        <f>'Tabel Input-Output'!Z31*'Tabel Harga'!$E$31</f>
        <v>0</v>
      </c>
      <c r="AA31" s="12">
        <f>'Tabel Input-Output'!AA31*'Tabel Harga'!$E$31</f>
        <v>0</v>
      </c>
      <c r="AB31" s="12">
        <f>'Tabel Input-Output'!AB31*'Tabel Harga'!$E$31</f>
        <v>0</v>
      </c>
      <c r="AC31" s="12">
        <f>'Tabel Input-Output'!AC31*'Tabel Harga'!$E$31</f>
        <v>0</v>
      </c>
      <c r="AD31" s="12">
        <f>'Tabel Input-Output'!AD31*'Tabel Harga'!$E$31</f>
        <v>0</v>
      </c>
      <c r="AE31" s="12">
        <f>'Tabel Input-Output'!AE31*'Tabel Harga'!$E$31</f>
        <v>0</v>
      </c>
      <c r="AF31" s="12">
        <f>'Tabel Input-Output'!AF31*'Tabel Harga'!$E$31</f>
        <v>0</v>
      </c>
      <c r="AG31" s="12">
        <f>'Tabel Input-Output'!AG31*'Tabel Harga'!$E$31</f>
        <v>0</v>
      </c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</row>
    <row r="32" spans="2:49" x14ac:dyDescent="0.3">
      <c r="B32" s="86" t="s">
        <v>82</v>
      </c>
      <c r="C32" s="19" t="s">
        <v>5</v>
      </c>
      <c r="D32" s="12">
        <f>'Tabel Input-Output'!D32*'Tabel Harga'!$E$32</f>
        <v>420000</v>
      </c>
      <c r="E32" s="12">
        <f>'Tabel Input-Output'!E32*'Tabel Harga'!$E$32</f>
        <v>420000</v>
      </c>
      <c r="F32" s="12">
        <f>'Tabel Input-Output'!F32*'Tabel Harga'!$E$32</f>
        <v>420000</v>
      </c>
      <c r="G32" s="12">
        <f>'Tabel Input-Output'!G32*'Tabel Harga'!$E$32</f>
        <v>420000</v>
      </c>
      <c r="H32" s="12">
        <f>'Tabel Input-Output'!H32*'Tabel Harga'!$E$32</f>
        <v>420000</v>
      </c>
      <c r="I32" s="12">
        <f>'Tabel Input-Output'!I32*'Tabel Harga'!$E$32</f>
        <v>420000</v>
      </c>
      <c r="J32" s="12">
        <f>'Tabel Input-Output'!J32*'Tabel Harga'!$E$32</f>
        <v>420000</v>
      </c>
      <c r="K32" s="12">
        <f>'Tabel Input-Output'!K32*'Tabel Harga'!$E$32</f>
        <v>420000</v>
      </c>
      <c r="L32" s="12">
        <f>'Tabel Input-Output'!L32*'Tabel Harga'!$E$32</f>
        <v>420000</v>
      </c>
      <c r="M32" s="12">
        <f>'Tabel Input-Output'!M32*'Tabel Harga'!$E$32</f>
        <v>420000</v>
      </c>
      <c r="N32" s="12">
        <f>'Tabel Input-Output'!N32*'Tabel Harga'!$E$32</f>
        <v>420000</v>
      </c>
      <c r="O32" s="12">
        <f>'Tabel Input-Output'!O32*'Tabel Harga'!$E$32</f>
        <v>420000</v>
      </c>
      <c r="P32" s="12">
        <f>'Tabel Input-Output'!P32*'Tabel Harga'!$E$32</f>
        <v>420000</v>
      </c>
      <c r="Q32" s="12">
        <f>'Tabel Input-Output'!Q32*'Tabel Harga'!$E$32</f>
        <v>420000</v>
      </c>
      <c r="R32" s="12">
        <f>'Tabel Input-Output'!R32*'Tabel Harga'!$E$32</f>
        <v>420000</v>
      </c>
      <c r="S32" s="12">
        <f>'Tabel Input-Output'!S32*'Tabel Harga'!$E$32</f>
        <v>420000</v>
      </c>
      <c r="T32" s="12">
        <f>'Tabel Input-Output'!T32*'Tabel Harga'!$E$32</f>
        <v>420000</v>
      </c>
      <c r="U32" s="12">
        <f>'Tabel Input-Output'!U32*'Tabel Harga'!$E$32</f>
        <v>420000</v>
      </c>
      <c r="V32" s="12">
        <f>'Tabel Input-Output'!V32*'Tabel Harga'!$E$32</f>
        <v>420000</v>
      </c>
      <c r="W32" s="12">
        <f>'Tabel Input-Output'!W32*'Tabel Harga'!$E$32</f>
        <v>420000</v>
      </c>
      <c r="X32" s="12">
        <f>'Tabel Input-Output'!X32*'Tabel Harga'!$E$32</f>
        <v>420000</v>
      </c>
      <c r="Y32" s="12">
        <f>'Tabel Input-Output'!Y32*'Tabel Harga'!$E$32</f>
        <v>420000</v>
      </c>
      <c r="Z32" s="12">
        <f>'Tabel Input-Output'!Z32*'Tabel Harga'!$E$32</f>
        <v>420000</v>
      </c>
      <c r="AA32" s="12">
        <f>'Tabel Input-Output'!AA32*'Tabel Harga'!$E$32</f>
        <v>420000</v>
      </c>
      <c r="AB32" s="12">
        <f>'Tabel Input-Output'!AB32*'Tabel Harga'!$E$32</f>
        <v>420000</v>
      </c>
      <c r="AC32" s="12">
        <f>'Tabel Input-Output'!AC32*'Tabel Harga'!$E$32</f>
        <v>420000</v>
      </c>
      <c r="AD32" s="12">
        <f>'Tabel Input-Output'!AD32*'Tabel Harga'!$E$32</f>
        <v>420000</v>
      </c>
      <c r="AE32" s="12">
        <f>'Tabel Input-Output'!AE32*'Tabel Harga'!$E$32</f>
        <v>420000</v>
      </c>
      <c r="AF32" s="12">
        <f>'Tabel Input-Output'!AF32*'Tabel Harga'!$E$32</f>
        <v>420000</v>
      </c>
      <c r="AG32" s="12">
        <f>'Tabel Input-Output'!AG32*'Tabel Harga'!$E$32</f>
        <v>420000</v>
      </c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</row>
    <row r="33" spans="2:49" x14ac:dyDescent="0.3">
      <c r="B33" s="86" t="s">
        <v>83</v>
      </c>
      <c r="C33" s="19" t="s">
        <v>5</v>
      </c>
      <c r="D33" s="12">
        <f>'Tabel Input-Output'!D33*'Tabel Harga'!$E$33</f>
        <v>210000</v>
      </c>
      <c r="E33" s="12">
        <f>'Tabel Input-Output'!E33*'Tabel Harga'!$E$33</f>
        <v>210000</v>
      </c>
      <c r="F33" s="12">
        <f>'Tabel Input-Output'!F33*'Tabel Harga'!$E$33</f>
        <v>210000</v>
      </c>
      <c r="G33" s="12">
        <f>'Tabel Input-Output'!G33*'Tabel Harga'!$E$33</f>
        <v>210000</v>
      </c>
      <c r="H33" s="12">
        <f>'Tabel Input-Output'!H33*'Tabel Harga'!$E$33</f>
        <v>210000</v>
      </c>
      <c r="I33" s="12">
        <f>'Tabel Input-Output'!I33*'Tabel Harga'!$E$33</f>
        <v>210000</v>
      </c>
      <c r="J33" s="12">
        <f>'Tabel Input-Output'!J33*'Tabel Harga'!$E$33</f>
        <v>210000</v>
      </c>
      <c r="K33" s="12">
        <f>'Tabel Input-Output'!K33*'Tabel Harga'!$E$33</f>
        <v>210000</v>
      </c>
      <c r="L33" s="12">
        <f>'Tabel Input-Output'!L33*'Tabel Harga'!$E$33</f>
        <v>210000</v>
      </c>
      <c r="M33" s="12">
        <f>'Tabel Input-Output'!M33*'Tabel Harga'!$E$33</f>
        <v>210000</v>
      </c>
      <c r="N33" s="12">
        <f>'Tabel Input-Output'!N33*'Tabel Harga'!$E$33</f>
        <v>210000</v>
      </c>
      <c r="O33" s="12">
        <f>'Tabel Input-Output'!O33*'Tabel Harga'!$E$33</f>
        <v>210000</v>
      </c>
      <c r="P33" s="12">
        <f>'Tabel Input-Output'!P33*'Tabel Harga'!$E$33</f>
        <v>210000</v>
      </c>
      <c r="Q33" s="12">
        <f>'Tabel Input-Output'!Q33*'Tabel Harga'!$E$33</f>
        <v>210000</v>
      </c>
      <c r="R33" s="12">
        <f>'Tabel Input-Output'!R33*'Tabel Harga'!$E$33</f>
        <v>210000</v>
      </c>
      <c r="S33" s="12">
        <f>'Tabel Input-Output'!S33*'Tabel Harga'!$E$33</f>
        <v>210000</v>
      </c>
      <c r="T33" s="12">
        <f>'Tabel Input-Output'!T33*'Tabel Harga'!$E$33</f>
        <v>210000</v>
      </c>
      <c r="U33" s="12">
        <f>'Tabel Input-Output'!U33*'Tabel Harga'!$E$33</f>
        <v>210000</v>
      </c>
      <c r="V33" s="12">
        <f>'Tabel Input-Output'!V33*'Tabel Harga'!$E$33</f>
        <v>210000</v>
      </c>
      <c r="W33" s="12">
        <f>'Tabel Input-Output'!W33*'Tabel Harga'!$E$33</f>
        <v>210000</v>
      </c>
      <c r="X33" s="12">
        <f>'Tabel Input-Output'!X33*'Tabel Harga'!$E$33</f>
        <v>210000</v>
      </c>
      <c r="Y33" s="12">
        <f>'Tabel Input-Output'!Y33*'Tabel Harga'!$E$33</f>
        <v>210000</v>
      </c>
      <c r="Z33" s="12">
        <f>'Tabel Input-Output'!Z33*'Tabel Harga'!$E$33</f>
        <v>210000</v>
      </c>
      <c r="AA33" s="12">
        <f>'Tabel Input-Output'!AA33*'Tabel Harga'!$E$33</f>
        <v>210000</v>
      </c>
      <c r="AB33" s="12">
        <f>'Tabel Input-Output'!AB33*'Tabel Harga'!$E$33</f>
        <v>210000</v>
      </c>
      <c r="AC33" s="12">
        <f>'Tabel Input-Output'!AC33*'Tabel Harga'!$E$33</f>
        <v>210000</v>
      </c>
      <c r="AD33" s="12">
        <f>'Tabel Input-Output'!AD33*'Tabel Harga'!$E$33</f>
        <v>210000</v>
      </c>
      <c r="AE33" s="12">
        <f>'Tabel Input-Output'!AE33*'Tabel Harga'!$E$33</f>
        <v>210000</v>
      </c>
      <c r="AF33" s="12">
        <f>'Tabel Input-Output'!AF33*'Tabel Harga'!$E$33</f>
        <v>210000</v>
      </c>
      <c r="AG33" s="12">
        <f>'Tabel Input-Output'!AG33*'Tabel Harga'!$E$33</f>
        <v>210000</v>
      </c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</row>
    <row r="34" spans="2:49" x14ac:dyDescent="0.3">
      <c r="B34" s="86" t="s">
        <v>104</v>
      </c>
      <c r="C34" s="19" t="s">
        <v>5</v>
      </c>
      <c r="D34" s="12">
        <f>'Tabel Input-Output'!D34*'Tabel Harga'!$E$34</f>
        <v>0</v>
      </c>
      <c r="E34" s="12">
        <f>'Tabel Input-Output'!E34*'Tabel Harga'!$E$34</f>
        <v>0</v>
      </c>
      <c r="F34" s="12">
        <f>'Tabel Input-Output'!F34*'Tabel Harga'!$E$34</f>
        <v>0</v>
      </c>
      <c r="G34" s="12">
        <f>'Tabel Input-Output'!G34*'Tabel Harga'!$E$34</f>
        <v>0</v>
      </c>
      <c r="H34" s="12">
        <f>'Tabel Input-Output'!H34*'Tabel Harga'!$E$34</f>
        <v>0</v>
      </c>
      <c r="I34" s="12">
        <f>'Tabel Input-Output'!I34*'Tabel Harga'!$E$34</f>
        <v>2041666.6666666667</v>
      </c>
      <c r="J34" s="12">
        <f>'Tabel Input-Output'!J34*'Tabel Harga'!$E$34</f>
        <v>2041666.6666666667</v>
      </c>
      <c r="K34" s="12">
        <f>'Tabel Input-Output'!K34*'Tabel Harga'!$E$34</f>
        <v>2041666.6666666667</v>
      </c>
      <c r="L34" s="12">
        <f>'Tabel Input-Output'!L34*'Tabel Harga'!$E$34</f>
        <v>4375000</v>
      </c>
      <c r="M34" s="12">
        <f>'Tabel Input-Output'!M34*'Tabel Harga'!$E$34</f>
        <v>4375000</v>
      </c>
      <c r="N34" s="12">
        <f>'Tabel Input-Output'!N34*'Tabel Harga'!$E$34</f>
        <v>5833333.333333333</v>
      </c>
      <c r="O34" s="12">
        <f>'Tabel Input-Output'!O34*'Tabel Harga'!$E$34</f>
        <v>5833333.333333333</v>
      </c>
      <c r="P34" s="12">
        <f>'Tabel Input-Output'!P34*'Tabel Harga'!$E$34</f>
        <v>5833333.333333333</v>
      </c>
      <c r="Q34" s="12">
        <f>'Tabel Input-Output'!Q34*'Tabel Harga'!$E$34</f>
        <v>5833333.333333333</v>
      </c>
      <c r="R34" s="12">
        <f>'Tabel Input-Output'!R34*'Tabel Harga'!$E$34</f>
        <v>5833333.333333333</v>
      </c>
      <c r="S34" s="12">
        <f>'Tabel Input-Output'!S34*'Tabel Harga'!$E$34</f>
        <v>5833333.333333333</v>
      </c>
      <c r="T34" s="12">
        <f>'Tabel Input-Output'!T34*'Tabel Harga'!$E$34</f>
        <v>5833333.333333333</v>
      </c>
      <c r="U34" s="12">
        <f>'Tabel Input-Output'!U34*'Tabel Harga'!$E$34</f>
        <v>5833333.333333333</v>
      </c>
      <c r="V34" s="12">
        <f>'Tabel Input-Output'!V34*'Tabel Harga'!$E$34</f>
        <v>5833333.333333333</v>
      </c>
      <c r="W34" s="12">
        <f>'Tabel Input-Output'!W34*'Tabel Harga'!$E$34</f>
        <v>5833333.333333333</v>
      </c>
      <c r="X34" s="12">
        <f>'Tabel Input-Output'!X34*'Tabel Harga'!$E$34</f>
        <v>2916666.6666666665</v>
      </c>
      <c r="Y34" s="12">
        <f>'Tabel Input-Output'!Y34*'Tabel Harga'!$E$34</f>
        <v>2916666.6666666665</v>
      </c>
      <c r="Z34" s="12">
        <f>'Tabel Input-Output'!Z34*'Tabel Harga'!$E$34</f>
        <v>2916666.6666666665</v>
      </c>
      <c r="AA34" s="12">
        <f>'Tabel Input-Output'!AA34*'Tabel Harga'!$E$34</f>
        <v>2916666.6666666665</v>
      </c>
      <c r="AB34" s="12">
        <f>'Tabel Input-Output'!AB34*'Tabel Harga'!$E$34</f>
        <v>2916666.6666666665</v>
      </c>
      <c r="AC34" s="12">
        <f>'Tabel Input-Output'!AC34*'Tabel Harga'!$E$34</f>
        <v>2916666.6666666665</v>
      </c>
      <c r="AD34" s="12">
        <f>'Tabel Input-Output'!AD34*'Tabel Harga'!$E$34</f>
        <v>2916666.6666666665</v>
      </c>
      <c r="AE34" s="12">
        <f>'Tabel Input-Output'!AE34*'Tabel Harga'!$E$34</f>
        <v>2916666.6666666665</v>
      </c>
      <c r="AF34" s="12">
        <f>'Tabel Input-Output'!AF34*'Tabel Harga'!$E$34</f>
        <v>2916666.6666666665</v>
      </c>
      <c r="AG34" s="12">
        <f>'Tabel Input-Output'!AG34*'Tabel Harga'!$E$34</f>
        <v>2916666.6666666665</v>
      </c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</row>
    <row r="35" spans="2:49" x14ac:dyDescent="0.3">
      <c r="B35" s="86" t="s">
        <v>107</v>
      </c>
      <c r="C35" s="19" t="s">
        <v>5</v>
      </c>
      <c r="D35" s="12">
        <f>'Tabel Input-Output'!D35*'Tabel Harga'!$E$35</f>
        <v>0</v>
      </c>
      <c r="E35" s="12">
        <f>'Tabel Input-Output'!E35*'Tabel Harga'!$E$35</f>
        <v>0</v>
      </c>
      <c r="F35" s="12">
        <f>'Tabel Input-Output'!F35*'Tabel Harga'!$E$35</f>
        <v>0</v>
      </c>
      <c r="G35" s="12">
        <f>'Tabel Input-Output'!G35*'Tabel Harga'!$E$35</f>
        <v>0</v>
      </c>
      <c r="H35" s="12">
        <f>'Tabel Input-Output'!H35*'Tabel Harga'!$E$35</f>
        <v>0</v>
      </c>
      <c r="I35" s="12">
        <f>'Tabel Input-Output'!I35*'Tabel Harga'!$E$35</f>
        <v>61250</v>
      </c>
      <c r="J35" s="12">
        <f>'Tabel Input-Output'!J35*'Tabel Harga'!$E$35</f>
        <v>61250</v>
      </c>
      <c r="K35" s="12">
        <f>'Tabel Input-Output'!K35*'Tabel Harga'!$E$35</f>
        <v>61250</v>
      </c>
      <c r="L35" s="12">
        <f>'Tabel Input-Output'!L35*'Tabel Harga'!$E$35</f>
        <v>131250</v>
      </c>
      <c r="M35" s="12">
        <f>'Tabel Input-Output'!M35*'Tabel Harga'!$E$35</f>
        <v>131250</v>
      </c>
      <c r="N35" s="12">
        <f>'Tabel Input-Output'!N35*'Tabel Harga'!$E$35</f>
        <v>175000</v>
      </c>
      <c r="O35" s="12">
        <f>'Tabel Input-Output'!O35*'Tabel Harga'!$E$35</f>
        <v>175000</v>
      </c>
      <c r="P35" s="12">
        <f>'Tabel Input-Output'!P35*'Tabel Harga'!$E$35</f>
        <v>175000</v>
      </c>
      <c r="Q35" s="12">
        <f>'Tabel Input-Output'!Q35*'Tabel Harga'!$E$35</f>
        <v>175000</v>
      </c>
      <c r="R35" s="12">
        <f>'Tabel Input-Output'!R35*'Tabel Harga'!$E$35</f>
        <v>175000</v>
      </c>
      <c r="S35" s="12">
        <f>'Tabel Input-Output'!S35*'Tabel Harga'!$E$35</f>
        <v>175000</v>
      </c>
      <c r="T35" s="12">
        <f>'Tabel Input-Output'!T35*'Tabel Harga'!$E$35</f>
        <v>175000</v>
      </c>
      <c r="U35" s="12">
        <f>'Tabel Input-Output'!U35*'Tabel Harga'!$E$35</f>
        <v>175000</v>
      </c>
      <c r="V35" s="12">
        <f>'Tabel Input-Output'!V35*'Tabel Harga'!$E$35</f>
        <v>175000</v>
      </c>
      <c r="W35" s="12">
        <f>'Tabel Input-Output'!W35*'Tabel Harga'!$E$35</f>
        <v>175000</v>
      </c>
      <c r="X35" s="12">
        <f>'Tabel Input-Output'!X35*'Tabel Harga'!$E$35</f>
        <v>87500</v>
      </c>
      <c r="Y35" s="12">
        <f>'Tabel Input-Output'!Y35*'Tabel Harga'!$E$35</f>
        <v>87500</v>
      </c>
      <c r="Z35" s="12">
        <f>'Tabel Input-Output'!Z35*'Tabel Harga'!$E$35</f>
        <v>87500</v>
      </c>
      <c r="AA35" s="12">
        <f>'Tabel Input-Output'!AA35*'Tabel Harga'!$E$35</f>
        <v>87500</v>
      </c>
      <c r="AB35" s="12">
        <f>'Tabel Input-Output'!AB35*'Tabel Harga'!$E$35</f>
        <v>87500</v>
      </c>
      <c r="AC35" s="12">
        <f>'Tabel Input-Output'!AC35*'Tabel Harga'!$E$35</f>
        <v>87500</v>
      </c>
      <c r="AD35" s="12">
        <f>'Tabel Input-Output'!AD35*'Tabel Harga'!$E$35</f>
        <v>87500</v>
      </c>
      <c r="AE35" s="12">
        <f>'Tabel Input-Output'!AE35*'Tabel Harga'!$E$35</f>
        <v>87500</v>
      </c>
      <c r="AF35" s="12">
        <f>'Tabel Input-Output'!AF35*'Tabel Harga'!$E$35</f>
        <v>87500</v>
      </c>
      <c r="AG35" s="12">
        <f>'Tabel Input-Output'!AG35*'Tabel Harga'!$E$35</f>
        <v>87500</v>
      </c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</row>
    <row r="36" spans="2:49" x14ac:dyDescent="0.3">
      <c r="B36" s="17"/>
      <c r="C36" s="19"/>
      <c r="D36" s="12"/>
      <c r="E36" s="10"/>
      <c r="F36" s="10"/>
      <c r="G36" s="12"/>
      <c r="H36" s="12"/>
      <c r="I36" s="12"/>
      <c r="J36" s="12"/>
      <c r="K36" s="13"/>
      <c r="L36" s="12"/>
      <c r="M36" s="12"/>
      <c r="N36" s="13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</row>
    <row r="37" spans="2:49" x14ac:dyDescent="0.3">
      <c r="B37" s="16" t="s">
        <v>24</v>
      </c>
      <c r="C37" s="19" t="s">
        <v>5</v>
      </c>
      <c r="D37" s="10">
        <f t="shared" ref="D37:AG37" si="0">SUM(D8:D35)</f>
        <v>4445000</v>
      </c>
      <c r="E37" s="10">
        <f t="shared" si="0"/>
        <v>1100000</v>
      </c>
      <c r="F37" s="10">
        <f t="shared" si="0"/>
        <v>1270000</v>
      </c>
      <c r="G37" s="10">
        <f t="shared" si="0"/>
        <v>1270000</v>
      </c>
      <c r="H37" s="10">
        <f t="shared" si="0"/>
        <v>1310000</v>
      </c>
      <c r="I37" s="10">
        <f t="shared" si="0"/>
        <v>3382916.666666667</v>
      </c>
      <c r="J37" s="10">
        <f t="shared" si="0"/>
        <v>3552916.666666667</v>
      </c>
      <c r="K37" s="10">
        <f t="shared" si="0"/>
        <v>3382916.666666667</v>
      </c>
      <c r="L37" s="10">
        <f t="shared" si="0"/>
        <v>6246250</v>
      </c>
      <c r="M37" s="10">
        <f t="shared" si="0"/>
        <v>6246250</v>
      </c>
      <c r="N37" s="10">
        <f t="shared" si="0"/>
        <v>7718333.333333333</v>
      </c>
      <c r="O37" s="10">
        <f t="shared" si="0"/>
        <v>7548333.333333333</v>
      </c>
      <c r="P37" s="10">
        <f t="shared" si="0"/>
        <v>7718333.333333333</v>
      </c>
      <c r="Q37" s="10">
        <f t="shared" si="0"/>
        <v>7678333.333333333</v>
      </c>
      <c r="R37" s="10">
        <f t="shared" si="0"/>
        <v>7718333.333333333</v>
      </c>
      <c r="S37" s="10">
        <f t="shared" si="0"/>
        <v>7548333.333333333</v>
      </c>
      <c r="T37" s="10">
        <f t="shared" si="0"/>
        <v>7718333.333333333</v>
      </c>
      <c r="U37" s="10">
        <f t="shared" si="0"/>
        <v>7548333.333333333</v>
      </c>
      <c r="V37" s="10">
        <f t="shared" si="0"/>
        <v>7848333.333333333</v>
      </c>
      <c r="W37" s="10">
        <f t="shared" si="0"/>
        <v>7848333.333333333</v>
      </c>
      <c r="X37" s="10">
        <f t="shared" si="0"/>
        <v>4514166.666666666</v>
      </c>
      <c r="Y37" s="10">
        <f t="shared" si="0"/>
        <v>4344166.666666666</v>
      </c>
      <c r="Z37" s="10">
        <f t="shared" si="0"/>
        <v>4514166.666666666</v>
      </c>
      <c r="AA37" s="10">
        <f t="shared" si="0"/>
        <v>4474166.666666666</v>
      </c>
      <c r="AB37" s="10">
        <f t="shared" si="0"/>
        <v>4514166.666666666</v>
      </c>
      <c r="AC37" s="10">
        <f t="shared" si="0"/>
        <v>4344166.666666666</v>
      </c>
      <c r="AD37" s="10">
        <f t="shared" si="0"/>
        <v>4514166.666666666</v>
      </c>
      <c r="AE37" s="10">
        <f t="shared" si="0"/>
        <v>4344166.666666666</v>
      </c>
      <c r="AF37" s="10">
        <f t="shared" si="0"/>
        <v>4644166.666666666</v>
      </c>
      <c r="AG37" s="10">
        <f t="shared" si="0"/>
        <v>4644166.666666666</v>
      </c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</row>
    <row r="38" spans="2:49" x14ac:dyDescent="0.3">
      <c r="B38" s="18"/>
      <c r="C38" s="19"/>
      <c r="D38" s="12"/>
      <c r="E38" s="12"/>
      <c r="F38" s="12"/>
      <c r="G38" s="12"/>
      <c r="H38" s="12"/>
      <c r="I38" s="12"/>
      <c r="J38" s="12"/>
      <c r="K38" s="13"/>
      <c r="L38" s="12"/>
      <c r="M38" s="12"/>
      <c r="N38" s="13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</row>
    <row r="39" spans="2:49" x14ac:dyDescent="0.3">
      <c r="B39" s="31" t="s">
        <v>27</v>
      </c>
      <c r="C39" s="32"/>
      <c r="D39" s="33"/>
      <c r="E39" s="33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</row>
    <row r="40" spans="2:49" x14ac:dyDescent="0.3">
      <c r="B40" s="18" t="s">
        <v>87</v>
      </c>
      <c r="C40" s="19"/>
      <c r="D40" s="12">
        <f>'Tabel Harga'!$E$40*'Tabel Input-Output'!D40</f>
        <v>0</v>
      </c>
      <c r="E40" s="12">
        <f>'Tabel Harga'!$E$40*'Tabel Input-Output'!E40</f>
        <v>0</v>
      </c>
      <c r="F40" s="12">
        <f>'Tabel Harga'!$E$40*'Tabel Input-Output'!F40</f>
        <v>0</v>
      </c>
      <c r="G40" s="12">
        <f>'Tabel Harga'!$E$40*'Tabel Input-Output'!G40</f>
        <v>0</v>
      </c>
      <c r="H40" s="12">
        <f>'Tabel Harga'!$E$40*'Tabel Input-Output'!H40</f>
        <v>0</v>
      </c>
      <c r="I40" s="12">
        <f>'Tabel Harga'!$E$40*'Tabel Input-Output'!I40</f>
        <v>4200000</v>
      </c>
      <c r="J40" s="12">
        <f>'Tabel Harga'!$E$40*'Tabel Input-Output'!J40</f>
        <v>4200000</v>
      </c>
      <c r="K40" s="12">
        <f>'Tabel Harga'!$E$40*'Tabel Input-Output'!K40</f>
        <v>4200000</v>
      </c>
      <c r="L40" s="12">
        <f>'Tabel Harga'!$E$40*'Tabel Input-Output'!L40</f>
        <v>9000000</v>
      </c>
      <c r="M40" s="12">
        <f>'Tabel Harga'!$E$40*'Tabel Input-Output'!M40</f>
        <v>9000000</v>
      </c>
      <c r="N40" s="12">
        <f>'Tabel Harga'!$E$40*'Tabel Input-Output'!N40</f>
        <v>12000000</v>
      </c>
      <c r="O40" s="12">
        <f>'Tabel Harga'!$E$40*'Tabel Input-Output'!O40</f>
        <v>12000000</v>
      </c>
      <c r="P40" s="12">
        <f>'Tabel Harga'!$E$40*'Tabel Input-Output'!P40</f>
        <v>12000000</v>
      </c>
      <c r="Q40" s="12">
        <f>'Tabel Harga'!$E$40*'Tabel Input-Output'!Q40</f>
        <v>12000000</v>
      </c>
      <c r="R40" s="12">
        <f>'Tabel Harga'!$E$40*'Tabel Input-Output'!R40</f>
        <v>12000000</v>
      </c>
      <c r="S40" s="12">
        <f>'Tabel Harga'!$E$40*'Tabel Input-Output'!S40</f>
        <v>12000000</v>
      </c>
      <c r="T40" s="12">
        <f>'Tabel Harga'!$E$40*'Tabel Input-Output'!T40</f>
        <v>12000000</v>
      </c>
      <c r="U40" s="12">
        <f>'Tabel Harga'!$E$40*'Tabel Input-Output'!U40</f>
        <v>12000000</v>
      </c>
      <c r="V40" s="12">
        <f>'Tabel Harga'!$E$40*'Tabel Input-Output'!V40</f>
        <v>12000000</v>
      </c>
      <c r="W40" s="12">
        <f>'Tabel Harga'!$E$40*'Tabel Input-Output'!W40</f>
        <v>12000000</v>
      </c>
      <c r="X40" s="12">
        <f>'Tabel Harga'!$E$40*'Tabel Input-Output'!X40</f>
        <v>6000000</v>
      </c>
      <c r="Y40" s="12">
        <f>'Tabel Harga'!$E$40*'Tabel Input-Output'!Y40</f>
        <v>6000000</v>
      </c>
      <c r="Z40" s="12">
        <f>'Tabel Harga'!$E$40*'Tabel Input-Output'!Z40</f>
        <v>6000000</v>
      </c>
      <c r="AA40" s="12">
        <f>'Tabel Harga'!$E$40*'Tabel Input-Output'!AA40</f>
        <v>6000000</v>
      </c>
      <c r="AB40" s="12">
        <f>'Tabel Harga'!$E$40*'Tabel Input-Output'!AB40</f>
        <v>6000000</v>
      </c>
      <c r="AC40" s="12">
        <f>'Tabel Harga'!$E$40*'Tabel Input-Output'!AC40</f>
        <v>6000000</v>
      </c>
      <c r="AD40" s="12">
        <f>'Tabel Harga'!$E$40*'Tabel Input-Output'!AD40</f>
        <v>6000000</v>
      </c>
      <c r="AE40" s="12">
        <f>'Tabel Harga'!$E$40*'Tabel Input-Output'!AE40</f>
        <v>6000000</v>
      </c>
      <c r="AF40" s="12">
        <f>'Tabel Harga'!$E$40*'Tabel Input-Output'!AF40</f>
        <v>6000000</v>
      </c>
      <c r="AG40" s="12">
        <f>'Tabel Harga'!$E$40*'Tabel Input-Output'!AG40</f>
        <v>6000000</v>
      </c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</row>
    <row r="41" spans="2:49" x14ac:dyDescent="0.3">
      <c r="B41" s="18"/>
      <c r="C41" s="19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</row>
    <row r="42" spans="2:49" x14ac:dyDescent="0.3">
      <c r="B42" s="16" t="s">
        <v>111</v>
      </c>
      <c r="C42" s="19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</row>
    <row r="43" spans="2:49" x14ac:dyDescent="0.3">
      <c r="B43" s="35" t="s">
        <v>90</v>
      </c>
      <c r="C43" s="19" t="s">
        <v>5</v>
      </c>
      <c r="D43" s="12">
        <f>'Tabel Harga'!$E$43*'Tabel Input-Output'!D43</f>
        <v>0</v>
      </c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</row>
    <row r="44" spans="2:49" x14ac:dyDescent="0.3">
      <c r="B44" s="18"/>
      <c r="C44" s="19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</row>
    <row r="45" spans="2:49" s="97" customFormat="1" x14ac:dyDescent="0.3">
      <c r="B45" s="16" t="s">
        <v>25</v>
      </c>
      <c r="C45" s="17" t="s">
        <v>5</v>
      </c>
      <c r="D45" s="14">
        <f t="shared" ref="D45:AG45" si="1">SUM(D40:D43)</f>
        <v>0</v>
      </c>
      <c r="E45" s="14">
        <f t="shared" si="1"/>
        <v>0</v>
      </c>
      <c r="F45" s="14">
        <f t="shared" si="1"/>
        <v>0</v>
      </c>
      <c r="G45" s="14">
        <f t="shared" si="1"/>
        <v>0</v>
      </c>
      <c r="H45" s="14">
        <f t="shared" si="1"/>
        <v>0</v>
      </c>
      <c r="I45" s="14">
        <f t="shared" si="1"/>
        <v>4200000</v>
      </c>
      <c r="J45" s="14">
        <f t="shared" si="1"/>
        <v>4200000</v>
      </c>
      <c r="K45" s="14">
        <f t="shared" si="1"/>
        <v>4200000</v>
      </c>
      <c r="L45" s="14">
        <f t="shared" si="1"/>
        <v>9000000</v>
      </c>
      <c r="M45" s="14">
        <f t="shared" si="1"/>
        <v>9000000</v>
      </c>
      <c r="N45" s="14">
        <f t="shared" si="1"/>
        <v>12000000</v>
      </c>
      <c r="O45" s="14">
        <f t="shared" si="1"/>
        <v>12000000</v>
      </c>
      <c r="P45" s="14">
        <f t="shared" si="1"/>
        <v>12000000</v>
      </c>
      <c r="Q45" s="14">
        <f t="shared" si="1"/>
        <v>12000000</v>
      </c>
      <c r="R45" s="14">
        <f t="shared" si="1"/>
        <v>12000000</v>
      </c>
      <c r="S45" s="14">
        <f t="shared" si="1"/>
        <v>12000000</v>
      </c>
      <c r="T45" s="14">
        <f t="shared" si="1"/>
        <v>12000000</v>
      </c>
      <c r="U45" s="14">
        <f t="shared" si="1"/>
        <v>12000000</v>
      </c>
      <c r="V45" s="14">
        <f t="shared" si="1"/>
        <v>12000000</v>
      </c>
      <c r="W45" s="14">
        <f t="shared" si="1"/>
        <v>12000000</v>
      </c>
      <c r="X45" s="14">
        <f t="shared" si="1"/>
        <v>6000000</v>
      </c>
      <c r="Y45" s="14">
        <f t="shared" si="1"/>
        <v>6000000</v>
      </c>
      <c r="Z45" s="14">
        <f t="shared" si="1"/>
        <v>6000000</v>
      </c>
      <c r="AA45" s="14">
        <f t="shared" si="1"/>
        <v>6000000</v>
      </c>
      <c r="AB45" s="14">
        <f t="shared" si="1"/>
        <v>6000000</v>
      </c>
      <c r="AC45" s="14">
        <f t="shared" si="1"/>
        <v>6000000</v>
      </c>
      <c r="AD45" s="14">
        <f t="shared" si="1"/>
        <v>6000000</v>
      </c>
      <c r="AE45" s="14">
        <f t="shared" si="1"/>
        <v>6000000</v>
      </c>
      <c r="AF45" s="14">
        <f t="shared" si="1"/>
        <v>6000000</v>
      </c>
      <c r="AG45" s="14">
        <f t="shared" si="1"/>
        <v>6000000</v>
      </c>
      <c r="AH45" s="15"/>
      <c r="AI45" s="15"/>
      <c r="AJ45" s="15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</row>
    <row r="46" spans="2:49" s="21" customFormat="1" ht="30" customHeight="1" x14ac:dyDescent="0.25">
      <c r="B46" s="22" t="s">
        <v>23</v>
      </c>
      <c r="C46" s="23"/>
      <c r="D46" s="24">
        <f t="shared" ref="D46:AG46" si="2">D45-D37</f>
        <v>-4445000</v>
      </c>
      <c r="E46" s="24">
        <f t="shared" si="2"/>
        <v>-1100000</v>
      </c>
      <c r="F46" s="24">
        <f t="shared" si="2"/>
        <v>-1270000</v>
      </c>
      <c r="G46" s="24">
        <f t="shared" si="2"/>
        <v>-1270000</v>
      </c>
      <c r="H46" s="24">
        <f t="shared" si="2"/>
        <v>-1310000</v>
      </c>
      <c r="I46" s="24">
        <f t="shared" si="2"/>
        <v>817083.33333333302</v>
      </c>
      <c r="J46" s="24">
        <f t="shared" si="2"/>
        <v>647083.33333333302</v>
      </c>
      <c r="K46" s="24">
        <f t="shared" si="2"/>
        <v>817083.33333333302</v>
      </c>
      <c r="L46" s="24">
        <f t="shared" si="2"/>
        <v>2753750</v>
      </c>
      <c r="M46" s="24">
        <f t="shared" si="2"/>
        <v>2753750</v>
      </c>
      <c r="N46" s="24">
        <f t="shared" si="2"/>
        <v>4281666.666666667</v>
      </c>
      <c r="O46" s="24">
        <f t="shared" si="2"/>
        <v>4451666.666666667</v>
      </c>
      <c r="P46" s="24">
        <f t="shared" si="2"/>
        <v>4281666.666666667</v>
      </c>
      <c r="Q46" s="24">
        <f t="shared" si="2"/>
        <v>4321666.666666667</v>
      </c>
      <c r="R46" s="24">
        <f t="shared" si="2"/>
        <v>4281666.666666667</v>
      </c>
      <c r="S46" s="24">
        <f t="shared" si="2"/>
        <v>4451666.666666667</v>
      </c>
      <c r="T46" s="24">
        <f t="shared" si="2"/>
        <v>4281666.666666667</v>
      </c>
      <c r="U46" s="24">
        <f t="shared" si="2"/>
        <v>4451666.666666667</v>
      </c>
      <c r="V46" s="24">
        <f t="shared" si="2"/>
        <v>4151666.666666667</v>
      </c>
      <c r="W46" s="24">
        <f t="shared" si="2"/>
        <v>4151666.666666667</v>
      </c>
      <c r="X46" s="24">
        <f t="shared" si="2"/>
        <v>1485833.333333334</v>
      </c>
      <c r="Y46" s="24">
        <f t="shared" si="2"/>
        <v>1655833.333333334</v>
      </c>
      <c r="Z46" s="24">
        <f t="shared" si="2"/>
        <v>1485833.333333334</v>
      </c>
      <c r="AA46" s="24">
        <f t="shared" si="2"/>
        <v>1525833.333333334</v>
      </c>
      <c r="AB46" s="24">
        <f t="shared" si="2"/>
        <v>1485833.333333334</v>
      </c>
      <c r="AC46" s="24">
        <f t="shared" si="2"/>
        <v>1655833.333333334</v>
      </c>
      <c r="AD46" s="24">
        <f t="shared" si="2"/>
        <v>1485833.333333334</v>
      </c>
      <c r="AE46" s="24">
        <f t="shared" si="2"/>
        <v>1655833.333333334</v>
      </c>
      <c r="AF46" s="24">
        <f t="shared" si="2"/>
        <v>1355833.333333334</v>
      </c>
      <c r="AG46" s="24">
        <f t="shared" si="2"/>
        <v>1355833.333333334</v>
      </c>
      <c r="AH46" s="25"/>
      <c r="AI46" s="25"/>
      <c r="AJ46" s="25"/>
      <c r="AK46" s="26"/>
      <c r="AL46" s="26"/>
      <c r="AM46" s="26"/>
      <c r="AN46" s="26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2:49" x14ac:dyDescent="0.3">
      <c r="C47" s="3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</row>
    <row r="48" spans="2:49" x14ac:dyDescent="0.3">
      <c r="B48" s="3" t="s">
        <v>28</v>
      </c>
      <c r="C48" s="5">
        <f>NPV(rate_private,D46:AG46)</f>
        <v>14150363.02994691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</row>
    <row r="49" spans="3:3" x14ac:dyDescent="0.3">
      <c r="C49" s="56">
        <f>C48/Summary!D9</f>
        <v>1032.8732138647379</v>
      </c>
    </row>
  </sheetData>
  <mergeCells count="32">
    <mergeCell ref="M4:M5"/>
    <mergeCell ref="H4:H5"/>
    <mergeCell ref="I4:I5"/>
    <mergeCell ref="J4:J5"/>
    <mergeCell ref="K4:K5"/>
    <mergeCell ref="L4:L5"/>
    <mergeCell ref="F4:F5"/>
    <mergeCell ref="D4:D5"/>
    <mergeCell ref="E4:E5"/>
    <mergeCell ref="C4:C5"/>
    <mergeCell ref="G4:G5"/>
    <mergeCell ref="U4:U5"/>
    <mergeCell ref="V4:V5"/>
    <mergeCell ref="B4:B5"/>
    <mergeCell ref="AA4:AA5"/>
    <mergeCell ref="AB4:AB5"/>
    <mergeCell ref="W4:W5"/>
    <mergeCell ref="X4:X5"/>
    <mergeCell ref="O4:O5"/>
    <mergeCell ref="P4:P5"/>
    <mergeCell ref="Q4:Q5"/>
    <mergeCell ref="R4:R5"/>
    <mergeCell ref="S4:S5"/>
    <mergeCell ref="T4:T5"/>
    <mergeCell ref="Y4:Y5"/>
    <mergeCell ref="Z4:Z5"/>
    <mergeCell ref="N4:N5"/>
    <mergeCell ref="AG4:AG5"/>
    <mergeCell ref="AC4:AC5"/>
    <mergeCell ref="AD4:AD5"/>
    <mergeCell ref="AE4:AE5"/>
    <mergeCell ref="AF4:AF5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W49"/>
  <sheetViews>
    <sheetView zoomScale="85" zoomScaleNormal="85" workbookViewId="0">
      <pane xSplit="3" ySplit="5" topLeftCell="W6" activePane="bottomRight" state="frozen"/>
      <selection pane="topRight" activeCell="D1" sqref="D1"/>
      <selection pane="bottomLeft" activeCell="A6" sqref="A6"/>
      <selection pane="bottomRight" activeCell="AH42" sqref="AH42"/>
    </sheetView>
  </sheetViews>
  <sheetFormatPr defaultColWidth="9.109375" defaultRowHeight="14.4" x14ac:dyDescent="0.3"/>
  <cols>
    <col min="1" max="1" width="9.109375" style="3"/>
    <col min="2" max="2" width="41.109375" style="3" bestFit="1" customWidth="1"/>
    <col min="3" max="3" width="15.33203125" style="4" bestFit="1" customWidth="1"/>
    <col min="4" max="4" width="11.5546875" style="8" bestFit="1" customWidth="1"/>
    <col min="5" max="5" width="10.5546875" style="8" bestFit="1" customWidth="1"/>
    <col min="6" max="8" width="10.5546875" style="3" bestFit="1" customWidth="1"/>
    <col min="9" max="9" width="11.5546875" style="3" bestFit="1" customWidth="1"/>
    <col min="10" max="10" width="10.5546875" style="3" bestFit="1" customWidth="1"/>
    <col min="11" max="33" width="10.88671875" style="3" bestFit="1" customWidth="1"/>
    <col min="34" max="16384" width="9.109375" style="3"/>
  </cols>
  <sheetData>
    <row r="1" spans="2:49" s="76" customFormat="1" ht="18" x14ac:dyDescent="0.35">
      <c r="B1" s="73" t="s">
        <v>29</v>
      </c>
      <c r="C1" s="74"/>
      <c r="D1" s="75"/>
      <c r="E1" s="75"/>
    </row>
    <row r="2" spans="2:49" s="76" customFormat="1" x14ac:dyDescent="0.3">
      <c r="B2" s="76" t="str">
        <f>'FarmBudget Privat'!B2</f>
        <v xml:space="preserve">Traditional coconut monoculture </v>
      </c>
      <c r="C2" s="77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</row>
    <row r="3" spans="2:49" s="76" customFormat="1" x14ac:dyDescent="0.3">
      <c r="C3" s="77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</row>
    <row r="4" spans="2:49" s="77" customFormat="1" x14ac:dyDescent="0.3">
      <c r="B4" s="140" t="s">
        <v>76</v>
      </c>
      <c r="C4" s="138" t="s">
        <v>0</v>
      </c>
      <c r="D4" s="142" t="s">
        <v>42</v>
      </c>
      <c r="E4" s="142" t="s">
        <v>43</v>
      </c>
      <c r="F4" s="142" t="s">
        <v>44</v>
      </c>
      <c r="G4" s="142" t="s">
        <v>45</v>
      </c>
      <c r="H4" s="142" t="s">
        <v>46</v>
      </c>
      <c r="I4" s="142" t="s">
        <v>47</v>
      </c>
      <c r="J4" s="142" t="s">
        <v>48</v>
      </c>
      <c r="K4" s="142" t="s">
        <v>49</v>
      </c>
      <c r="L4" s="142" t="s">
        <v>50</v>
      </c>
      <c r="M4" s="142" t="s">
        <v>51</v>
      </c>
      <c r="N4" s="142" t="s">
        <v>52</v>
      </c>
      <c r="O4" s="142" t="s">
        <v>53</v>
      </c>
      <c r="P4" s="142" t="s">
        <v>54</v>
      </c>
      <c r="Q4" s="142" t="s">
        <v>55</v>
      </c>
      <c r="R4" s="142" t="s">
        <v>56</v>
      </c>
      <c r="S4" s="142" t="s">
        <v>57</v>
      </c>
      <c r="T4" s="142" t="s">
        <v>58</v>
      </c>
      <c r="U4" s="142" t="s">
        <v>59</v>
      </c>
      <c r="V4" s="142" t="s">
        <v>60</v>
      </c>
      <c r="W4" s="142" t="s">
        <v>61</v>
      </c>
      <c r="X4" s="142" t="s">
        <v>62</v>
      </c>
      <c r="Y4" s="142" t="s">
        <v>63</v>
      </c>
      <c r="Z4" s="142" t="s">
        <v>64</v>
      </c>
      <c r="AA4" s="142" t="s">
        <v>65</v>
      </c>
      <c r="AB4" s="142" t="s">
        <v>66</v>
      </c>
      <c r="AC4" s="142" t="s">
        <v>67</v>
      </c>
      <c r="AD4" s="142" t="s">
        <v>68</v>
      </c>
      <c r="AE4" s="142" t="s">
        <v>69</v>
      </c>
      <c r="AF4" s="142" t="s">
        <v>70</v>
      </c>
      <c r="AG4" s="142" t="s">
        <v>71</v>
      </c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</row>
    <row r="5" spans="2:49" s="77" customFormat="1" x14ac:dyDescent="0.3">
      <c r="B5" s="141"/>
      <c r="C5" s="139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</row>
    <row r="6" spans="2:49" x14ac:dyDescent="0.3">
      <c r="B6" s="34" t="s">
        <v>26</v>
      </c>
      <c r="C6" s="32"/>
      <c r="D6" s="33"/>
      <c r="E6" s="33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</row>
    <row r="7" spans="2:49" x14ac:dyDescent="0.3">
      <c r="B7" s="16" t="s">
        <v>30</v>
      </c>
      <c r="C7" s="19"/>
      <c r="D7" s="20"/>
      <c r="E7" s="9"/>
      <c r="F7" s="9"/>
      <c r="G7" s="9"/>
      <c r="H7" s="9"/>
      <c r="I7" s="9"/>
      <c r="J7" s="9"/>
      <c r="K7" s="28"/>
      <c r="L7" s="9"/>
      <c r="M7" s="9"/>
      <c r="N7" s="2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</row>
    <row r="8" spans="2:49" x14ac:dyDescent="0.3">
      <c r="B8" s="35" t="s">
        <v>9</v>
      </c>
      <c r="C8" s="19" t="s">
        <v>5</v>
      </c>
      <c r="D8" s="12">
        <f>'Tabel Input-Output'!D8*'Tabel Harga'!$F$8</f>
        <v>0</v>
      </c>
      <c r="E8" s="12">
        <f>'Tabel Input-Output'!E8*'Tabel Harga'!$F$8</f>
        <v>0</v>
      </c>
      <c r="F8" s="12">
        <f>'Tabel Input-Output'!F8*'Tabel Harga'!$F$8</f>
        <v>0</v>
      </c>
      <c r="G8" s="12">
        <f>'Tabel Input-Output'!G8*'Tabel Harga'!$F$8</f>
        <v>0</v>
      </c>
      <c r="H8" s="12">
        <f>'Tabel Input-Output'!H8*'Tabel Harga'!$F$8</f>
        <v>0</v>
      </c>
      <c r="I8" s="12">
        <f>'Tabel Input-Output'!I8*'Tabel Harga'!$F$8</f>
        <v>0</v>
      </c>
      <c r="J8" s="12">
        <f>'Tabel Input-Output'!J8*'Tabel Harga'!$F$8</f>
        <v>0</v>
      </c>
      <c r="K8" s="12">
        <f>'Tabel Input-Output'!K8*'Tabel Harga'!$F$8</f>
        <v>0</v>
      </c>
      <c r="L8" s="12">
        <f>'Tabel Input-Output'!L8*'Tabel Harga'!$F$8</f>
        <v>0</v>
      </c>
      <c r="M8" s="12">
        <f>'Tabel Input-Output'!M8*'Tabel Harga'!$F$8</f>
        <v>0</v>
      </c>
      <c r="N8" s="12">
        <f>'Tabel Input-Output'!N8*'Tabel Harga'!$F$8</f>
        <v>0</v>
      </c>
      <c r="O8" s="12">
        <f>'Tabel Input-Output'!O8*'Tabel Harga'!$F$8</f>
        <v>0</v>
      </c>
      <c r="P8" s="12">
        <f>'Tabel Input-Output'!P8*'Tabel Harga'!$F$8</f>
        <v>0</v>
      </c>
      <c r="Q8" s="12">
        <f>'Tabel Input-Output'!Q8*'Tabel Harga'!$F$8</f>
        <v>0</v>
      </c>
      <c r="R8" s="12">
        <f>'Tabel Input-Output'!R8*'Tabel Harga'!$F$8</f>
        <v>0</v>
      </c>
      <c r="S8" s="12">
        <f>'Tabel Input-Output'!S8*'Tabel Harga'!$F$8</f>
        <v>0</v>
      </c>
      <c r="T8" s="12">
        <f>'Tabel Input-Output'!T8*'Tabel Harga'!$F$8</f>
        <v>0</v>
      </c>
      <c r="U8" s="12">
        <f>'Tabel Input-Output'!U8*'Tabel Harga'!$F$8</f>
        <v>0</v>
      </c>
      <c r="V8" s="12">
        <f>'Tabel Input-Output'!V8*'Tabel Harga'!$F$8</f>
        <v>0</v>
      </c>
      <c r="W8" s="12">
        <f>'Tabel Input-Output'!W8*'Tabel Harga'!$F$8</f>
        <v>0</v>
      </c>
      <c r="X8" s="12">
        <f>'Tabel Input-Output'!X8*'Tabel Harga'!$F$8</f>
        <v>0</v>
      </c>
      <c r="Y8" s="12">
        <f>'Tabel Input-Output'!Y8*'Tabel Harga'!$F$8</f>
        <v>0</v>
      </c>
      <c r="Z8" s="12">
        <f>'Tabel Input-Output'!Z8*'Tabel Harga'!$F$8</f>
        <v>0</v>
      </c>
      <c r="AA8" s="12">
        <f>'Tabel Input-Output'!AA8*'Tabel Harga'!$F$8</f>
        <v>0</v>
      </c>
      <c r="AB8" s="12">
        <f>'Tabel Input-Output'!AB8*'Tabel Harga'!$F$8</f>
        <v>0</v>
      </c>
      <c r="AC8" s="12">
        <f>'Tabel Input-Output'!AC8*'Tabel Harga'!$F$8</f>
        <v>0</v>
      </c>
      <c r="AD8" s="12">
        <f>'Tabel Input-Output'!AD8*'Tabel Harga'!$F$8</f>
        <v>0</v>
      </c>
      <c r="AE8" s="12">
        <f>'Tabel Input-Output'!AE8*'Tabel Harga'!$F$8</f>
        <v>0</v>
      </c>
      <c r="AF8" s="12">
        <f>'Tabel Input-Output'!AF8*'Tabel Harga'!$F$8</f>
        <v>0</v>
      </c>
      <c r="AG8" s="12">
        <f>'Tabel Input-Output'!AG8*'Tabel Harga'!$F$8</f>
        <v>0</v>
      </c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</row>
    <row r="9" spans="2:49" x14ac:dyDescent="0.3">
      <c r="B9" s="35" t="s">
        <v>22</v>
      </c>
      <c r="C9" s="19" t="s">
        <v>5</v>
      </c>
      <c r="D9" s="12">
        <f>'Tabel Input-Output'!D9*'Tabel Harga'!$F$9</f>
        <v>0</v>
      </c>
      <c r="E9" s="12">
        <f>'Tabel Input-Output'!E9*'Tabel Harga'!$F$9</f>
        <v>0</v>
      </c>
      <c r="F9" s="12">
        <f>'Tabel Input-Output'!F9*'Tabel Harga'!$F$9</f>
        <v>0</v>
      </c>
      <c r="G9" s="12">
        <f>'Tabel Input-Output'!G9*'Tabel Harga'!$F$9</f>
        <v>0</v>
      </c>
      <c r="H9" s="12">
        <f>'Tabel Input-Output'!H9*'Tabel Harga'!$F$9</f>
        <v>0</v>
      </c>
      <c r="I9" s="12">
        <f>'Tabel Input-Output'!I9*'Tabel Harga'!$F$9</f>
        <v>0</v>
      </c>
      <c r="J9" s="12">
        <f>'Tabel Input-Output'!J9*'Tabel Harga'!$F$9</f>
        <v>0</v>
      </c>
      <c r="K9" s="12">
        <f>'Tabel Input-Output'!K9*'Tabel Harga'!$F$9</f>
        <v>0</v>
      </c>
      <c r="L9" s="12">
        <f>'Tabel Input-Output'!L9*'Tabel Harga'!$F$9</f>
        <v>0</v>
      </c>
      <c r="M9" s="12">
        <f>'Tabel Input-Output'!M9*'Tabel Harga'!$F$9</f>
        <v>0</v>
      </c>
      <c r="N9" s="12">
        <f>'Tabel Input-Output'!N9*'Tabel Harga'!$F$9</f>
        <v>0</v>
      </c>
      <c r="O9" s="12">
        <f>'Tabel Input-Output'!O9*'Tabel Harga'!$F$9</f>
        <v>0</v>
      </c>
      <c r="P9" s="12">
        <f>'Tabel Input-Output'!P9*'Tabel Harga'!$F$9</f>
        <v>0</v>
      </c>
      <c r="Q9" s="12">
        <f>'Tabel Input-Output'!Q9*'Tabel Harga'!$F$9</f>
        <v>0</v>
      </c>
      <c r="R9" s="12">
        <f>'Tabel Input-Output'!R9*'Tabel Harga'!$F$9</f>
        <v>0</v>
      </c>
      <c r="S9" s="12">
        <f>'Tabel Input-Output'!S9*'Tabel Harga'!$F$9</f>
        <v>0</v>
      </c>
      <c r="T9" s="12">
        <f>'Tabel Input-Output'!T9*'Tabel Harga'!$F$9</f>
        <v>0</v>
      </c>
      <c r="U9" s="12">
        <f>'Tabel Input-Output'!U9*'Tabel Harga'!$F$9</f>
        <v>0</v>
      </c>
      <c r="V9" s="12">
        <f>'Tabel Input-Output'!V9*'Tabel Harga'!$F$9</f>
        <v>0</v>
      </c>
      <c r="W9" s="12">
        <f>'Tabel Input-Output'!W9*'Tabel Harga'!$F$9</f>
        <v>0</v>
      </c>
      <c r="X9" s="12">
        <f>'Tabel Input-Output'!X9*'Tabel Harga'!$F$9</f>
        <v>0</v>
      </c>
      <c r="Y9" s="12">
        <f>'Tabel Input-Output'!Y9*'Tabel Harga'!$F$9</f>
        <v>0</v>
      </c>
      <c r="Z9" s="12">
        <f>'Tabel Input-Output'!Z9*'Tabel Harga'!$F$9</f>
        <v>0</v>
      </c>
      <c r="AA9" s="12">
        <f>'Tabel Input-Output'!AA9*'Tabel Harga'!$F$9</f>
        <v>0</v>
      </c>
      <c r="AB9" s="12">
        <f>'Tabel Input-Output'!AB9*'Tabel Harga'!$F$9</f>
        <v>0</v>
      </c>
      <c r="AC9" s="12">
        <f>'Tabel Input-Output'!AC9*'Tabel Harga'!$F$9</f>
        <v>0</v>
      </c>
      <c r="AD9" s="12">
        <f>'Tabel Input-Output'!AD9*'Tabel Harga'!$F$9</f>
        <v>0</v>
      </c>
      <c r="AE9" s="12">
        <f>'Tabel Input-Output'!AE9*'Tabel Harga'!$F$9</f>
        <v>0</v>
      </c>
      <c r="AF9" s="12">
        <f>'Tabel Input-Output'!AF9*'Tabel Harga'!$F$9</f>
        <v>0</v>
      </c>
      <c r="AG9" s="12">
        <f>'Tabel Input-Output'!AG9*'Tabel Harga'!$F$9</f>
        <v>0</v>
      </c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</row>
    <row r="10" spans="2:49" x14ac:dyDescent="0.3">
      <c r="B10" s="16" t="s">
        <v>31</v>
      </c>
      <c r="C10" s="19"/>
      <c r="D10" s="12"/>
      <c r="E10" s="10"/>
      <c r="F10" s="10"/>
      <c r="G10" s="10"/>
      <c r="H10" s="10"/>
      <c r="I10" s="10"/>
      <c r="J10" s="10"/>
      <c r="K10" s="11"/>
      <c r="L10" s="10"/>
      <c r="M10" s="10"/>
      <c r="N10" s="11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2"/>
      <c r="AC10" s="12"/>
      <c r="AD10" s="12"/>
      <c r="AE10" s="12"/>
      <c r="AF10" s="12"/>
      <c r="AG10" s="12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</row>
    <row r="11" spans="2:49" x14ac:dyDescent="0.3">
      <c r="B11" s="35" t="s">
        <v>32</v>
      </c>
      <c r="C11" s="19" t="s">
        <v>5</v>
      </c>
      <c r="D11" s="12">
        <f>'Tabel Input-Output'!D11*'Tabel Harga'!$F$11</f>
        <v>260000</v>
      </c>
      <c r="E11" s="12">
        <f>'Tabel Input-Output'!E11*'Tabel Harga'!$F$11</f>
        <v>260000</v>
      </c>
      <c r="F11" s="12">
        <f>'Tabel Input-Output'!F11*'Tabel Harga'!$F$11</f>
        <v>260000</v>
      </c>
      <c r="G11" s="12">
        <f>'Tabel Input-Output'!G11*'Tabel Harga'!$F$11</f>
        <v>260000</v>
      </c>
      <c r="H11" s="12">
        <f>'Tabel Input-Output'!H11*'Tabel Harga'!$F$11</f>
        <v>260000</v>
      </c>
      <c r="I11" s="12">
        <f>'Tabel Input-Output'!I11*'Tabel Harga'!$F$11</f>
        <v>260000</v>
      </c>
      <c r="J11" s="12">
        <f>'Tabel Input-Output'!J11*'Tabel Harga'!$F$11</f>
        <v>260000</v>
      </c>
      <c r="K11" s="12">
        <f>'Tabel Input-Output'!K11*'Tabel Harga'!$F$11</f>
        <v>260000</v>
      </c>
      <c r="L11" s="12">
        <f>'Tabel Input-Output'!L11*'Tabel Harga'!$F$11</f>
        <v>260000</v>
      </c>
      <c r="M11" s="12">
        <f>'Tabel Input-Output'!M11*'Tabel Harga'!$F$11</f>
        <v>260000</v>
      </c>
      <c r="N11" s="12">
        <f>'Tabel Input-Output'!N11*'Tabel Harga'!$F$11</f>
        <v>260000</v>
      </c>
      <c r="O11" s="12">
        <f>'Tabel Input-Output'!O11*'Tabel Harga'!$F$11</f>
        <v>260000</v>
      </c>
      <c r="P11" s="12">
        <f>'Tabel Input-Output'!P11*'Tabel Harga'!$F$11</f>
        <v>260000</v>
      </c>
      <c r="Q11" s="12">
        <f>'Tabel Input-Output'!Q11*'Tabel Harga'!$F$11</f>
        <v>260000</v>
      </c>
      <c r="R11" s="12">
        <f>'Tabel Input-Output'!R11*'Tabel Harga'!$F$11</f>
        <v>260000</v>
      </c>
      <c r="S11" s="12">
        <f>'Tabel Input-Output'!S11*'Tabel Harga'!$F$11</f>
        <v>260000</v>
      </c>
      <c r="T11" s="12">
        <f>'Tabel Input-Output'!T11*'Tabel Harga'!$F$11</f>
        <v>260000</v>
      </c>
      <c r="U11" s="12">
        <f>'Tabel Input-Output'!U11*'Tabel Harga'!$F$11</f>
        <v>260000</v>
      </c>
      <c r="V11" s="12">
        <f>'Tabel Input-Output'!V11*'Tabel Harga'!$F$11</f>
        <v>260000</v>
      </c>
      <c r="W11" s="12">
        <f>'Tabel Input-Output'!W11*'Tabel Harga'!$F$11</f>
        <v>260000</v>
      </c>
      <c r="X11" s="12">
        <f>'Tabel Input-Output'!X11*'Tabel Harga'!$F$11</f>
        <v>260000</v>
      </c>
      <c r="Y11" s="12">
        <f>'Tabel Input-Output'!Y11*'Tabel Harga'!$F$11</f>
        <v>260000</v>
      </c>
      <c r="Z11" s="12">
        <f>'Tabel Input-Output'!Z11*'Tabel Harga'!$F$11</f>
        <v>260000</v>
      </c>
      <c r="AA11" s="12">
        <f>'Tabel Input-Output'!AA11*'Tabel Harga'!$F$11</f>
        <v>260000</v>
      </c>
      <c r="AB11" s="12">
        <f>'Tabel Input-Output'!AB11*'Tabel Harga'!$F$11</f>
        <v>260000</v>
      </c>
      <c r="AC11" s="12">
        <f>'Tabel Input-Output'!AC11*'Tabel Harga'!$F$11</f>
        <v>260000</v>
      </c>
      <c r="AD11" s="12">
        <f>'Tabel Input-Output'!AD11*'Tabel Harga'!$F$11</f>
        <v>260000</v>
      </c>
      <c r="AE11" s="12">
        <f>'Tabel Input-Output'!AE11*'Tabel Harga'!$F$11</f>
        <v>260000</v>
      </c>
      <c r="AF11" s="12">
        <f>'Tabel Input-Output'!AF11*'Tabel Harga'!$F$11</f>
        <v>260000</v>
      </c>
      <c r="AG11" s="12">
        <f>'Tabel Input-Output'!AG11*'Tabel Harga'!$F$11</f>
        <v>260000</v>
      </c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</row>
    <row r="12" spans="2:49" x14ac:dyDescent="0.3">
      <c r="B12" s="35"/>
      <c r="C12" s="19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</row>
    <row r="13" spans="2:49" s="7" customFormat="1" x14ac:dyDescent="0.3">
      <c r="B13" s="16" t="s">
        <v>35</v>
      </c>
      <c r="C13" s="19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</row>
    <row r="14" spans="2:49" s="7" customFormat="1" x14ac:dyDescent="0.3">
      <c r="B14" s="35" t="s">
        <v>87</v>
      </c>
      <c r="C14" s="19" t="s">
        <v>5</v>
      </c>
      <c r="D14" s="12">
        <f>'Tabel Input-Output'!D14*'Tabel Harga'!$F$14</f>
        <v>390000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</row>
    <row r="15" spans="2:49" s="7" customFormat="1" x14ac:dyDescent="0.3">
      <c r="B15" s="35"/>
      <c r="C15" s="19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</row>
    <row r="16" spans="2:49" s="7" customFormat="1" x14ac:dyDescent="0.3">
      <c r="B16" s="16" t="s">
        <v>7</v>
      </c>
      <c r="C16" s="19"/>
      <c r="D16" s="12"/>
      <c r="E16" s="10"/>
      <c r="F16" s="10"/>
      <c r="G16" s="10"/>
      <c r="H16" s="10"/>
      <c r="I16" s="10"/>
      <c r="J16" s="10"/>
      <c r="K16" s="11"/>
      <c r="L16" s="10"/>
      <c r="M16" s="10"/>
      <c r="N16" s="11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</row>
    <row r="17" spans="2:49" x14ac:dyDescent="0.3">
      <c r="B17" s="35" t="s">
        <v>88</v>
      </c>
      <c r="C17" s="19" t="s">
        <v>5</v>
      </c>
      <c r="D17" s="12">
        <f>'Tabel Input-Output'!D17*'Tabel Harga'!$F$17</f>
        <v>0</v>
      </c>
      <c r="E17" s="12">
        <f>'Tabel Input-Output'!E17*'Tabel Harga'!$F$17</f>
        <v>0</v>
      </c>
      <c r="F17" s="12">
        <f>'Tabel Input-Output'!F17*'Tabel Harga'!$F$17</f>
        <v>0</v>
      </c>
      <c r="G17" s="12">
        <f>'Tabel Input-Output'!G17*'Tabel Harga'!$F$17</f>
        <v>30000</v>
      </c>
      <c r="H17" s="12">
        <f>'Tabel Input-Output'!H17*'Tabel Harga'!$F$17</f>
        <v>0</v>
      </c>
      <c r="I17" s="12">
        <f>'Tabel Input-Output'!I17*'Tabel Harga'!$F$17</f>
        <v>0</v>
      </c>
      <c r="J17" s="12">
        <f>'Tabel Input-Output'!J17*'Tabel Harga'!$F$17</f>
        <v>0</v>
      </c>
      <c r="K17" s="12">
        <f>'Tabel Input-Output'!K17*'Tabel Harga'!$F$17</f>
        <v>0</v>
      </c>
      <c r="L17" s="12">
        <f>'Tabel Input-Output'!L17*'Tabel Harga'!$F$17</f>
        <v>30000</v>
      </c>
      <c r="M17" s="12">
        <f>'Tabel Input-Output'!M17*'Tabel Harga'!$F$17</f>
        <v>0</v>
      </c>
      <c r="N17" s="12">
        <f>'Tabel Input-Output'!N17*'Tabel Harga'!$F$17</f>
        <v>0</v>
      </c>
      <c r="O17" s="12">
        <f>'Tabel Input-Output'!O17*'Tabel Harga'!$F$17</f>
        <v>0</v>
      </c>
      <c r="P17" s="12">
        <f>'Tabel Input-Output'!P17*'Tabel Harga'!$F$17</f>
        <v>0</v>
      </c>
      <c r="Q17" s="12">
        <f>'Tabel Input-Output'!Q17*'Tabel Harga'!$F$17</f>
        <v>30000</v>
      </c>
      <c r="R17" s="12">
        <f>'Tabel Input-Output'!R17*'Tabel Harga'!$F$17</f>
        <v>0</v>
      </c>
      <c r="S17" s="12">
        <f>'Tabel Input-Output'!S17*'Tabel Harga'!$F$17</f>
        <v>0</v>
      </c>
      <c r="T17" s="12">
        <f>'Tabel Input-Output'!T17*'Tabel Harga'!$F$17</f>
        <v>0</v>
      </c>
      <c r="U17" s="12">
        <f>'Tabel Input-Output'!U17*'Tabel Harga'!$F$17</f>
        <v>0</v>
      </c>
      <c r="V17" s="12">
        <f>'Tabel Input-Output'!V17*'Tabel Harga'!$F$17</f>
        <v>30000</v>
      </c>
      <c r="W17" s="12">
        <f>'Tabel Input-Output'!W17*'Tabel Harga'!$F$17</f>
        <v>0</v>
      </c>
      <c r="X17" s="12">
        <f>'Tabel Input-Output'!X17*'Tabel Harga'!$F$17</f>
        <v>0</v>
      </c>
      <c r="Y17" s="12">
        <f>'Tabel Input-Output'!Y17*'Tabel Harga'!$F$17</f>
        <v>0</v>
      </c>
      <c r="Z17" s="12">
        <f>'Tabel Input-Output'!Z17*'Tabel Harga'!$F$17</f>
        <v>0</v>
      </c>
      <c r="AA17" s="12">
        <f>'Tabel Input-Output'!AA17*'Tabel Harga'!$F$17</f>
        <v>30000</v>
      </c>
      <c r="AB17" s="12">
        <f>'Tabel Input-Output'!AB17*'Tabel Harga'!$F$17</f>
        <v>0</v>
      </c>
      <c r="AC17" s="12">
        <f>'Tabel Input-Output'!AC17*'Tabel Harga'!$F$17</f>
        <v>0</v>
      </c>
      <c r="AD17" s="12">
        <f>'Tabel Input-Output'!AD17*'Tabel Harga'!$F$17</f>
        <v>0</v>
      </c>
      <c r="AE17" s="12">
        <f>'Tabel Input-Output'!AE17*'Tabel Harga'!$F$17</f>
        <v>0</v>
      </c>
      <c r="AF17" s="12">
        <f>'Tabel Input-Output'!AF17*'Tabel Harga'!$F$17</f>
        <v>30000</v>
      </c>
      <c r="AG17" s="12">
        <f>'Tabel Input-Output'!AG17*'Tabel Harga'!$F$17</f>
        <v>0</v>
      </c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</row>
    <row r="18" spans="2:49" x14ac:dyDescent="0.3">
      <c r="B18" s="86" t="s">
        <v>89</v>
      </c>
      <c r="C18" s="19" t="s">
        <v>5</v>
      </c>
      <c r="D18" s="12">
        <f>'Tabel Input-Output'!D18*'Tabel Harga'!$F18</f>
        <v>0</v>
      </c>
      <c r="E18" s="12">
        <f>'Tabel Input-Output'!E18*'Tabel Harga'!$F18</f>
        <v>0</v>
      </c>
      <c r="F18" s="12">
        <f>'Tabel Input-Output'!F18*'Tabel Harga'!$F18</f>
        <v>0</v>
      </c>
      <c r="G18" s="12">
        <f>'Tabel Input-Output'!G18*'Tabel Harga'!$F18</f>
        <v>0</v>
      </c>
      <c r="H18" s="12">
        <f>'Tabel Input-Output'!H18*'Tabel Harga'!$F18</f>
        <v>0</v>
      </c>
      <c r="I18" s="12">
        <f>'Tabel Input-Output'!I18*'Tabel Harga'!$F18</f>
        <v>140000</v>
      </c>
      <c r="J18" s="12">
        <f>'Tabel Input-Output'!J18*'Tabel Harga'!$F18</f>
        <v>140000</v>
      </c>
      <c r="K18" s="12">
        <f>'Tabel Input-Output'!K18*'Tabel Harga'!$F18</f>
        <v>140000</v>
      </c>
      <c r="L18" s="12">
        <f>'Tabel Input-Output'!L18*'Tabel Harga'!$F18</f>
        <v>300000</v>
      </c>
      <c r="M18" s="12">
        <f>'Tabel Input-Output'!M18*'Tabel Harga'!$F18</f>
        <v>300000</v>
      </c>
      <c r="N18" s="12">
        <f>'Tabel Input-Output'!N18*'Tabel Harga'!$F18</f>
        <v>400000</v>
      </c>
      <c r="O18" s="12">
        <f>'Tabel Input-Output'!O18*'Tabel Harga'!$F18</f>
        <v>400000</v>
      </c>
      <c r="P18" s="12">
        <f>'Tabel Input-Output'!P18*'Tabel Harga'!$F18</f>
        <v>400000</v>
      </c>
      <c r="Q18" s="12">
        <f>'Tabel Input-Output'!Q18*'Tabel Harga'!$F18</f>
        <v>400000</v>
      </c>
      <c r="R18" s="12">
        <f>'Tabel Input-Output'!R18*'Tabel Harga'!$F18</f>
        <v>400000</v>
      </c>
      <c r="S18" s="12">
        <f>'Tabel Input-Output'!S18*'Tabel Harga'!$F18</f>
        <v>400000</v>
      </c>
      <c r="T18" s="12">
        <f>'Tabel Input-Output'!T18*'Tabel Harga'!$F18</f>
        <v>400000</v>
      </c>
      <c r="U18" s="12">
        <f>'Tabel Input-Output'!U18*'Tabel Harga'!$F18</f>
        <v>400000</v>
      </c>
      <c r="V18" s="12">
        <f>'Tabel Input-Output'!V18*'Tabel Harga'!$F18</f>
        <v>400000</v>
      </c>
      <c r="W18" s="12">
        <f>'Tabel Input-Output'!W18*'Tabel Harga'!$F18</f>
        <v>400000</v>
      </c>
      <c r="X18" s="12">
        <f>'Tabel Input-Output'!X18*'Tabel Harga'!$F18</f>
        <v>200000</v>
      </c>
      <c r="Y18" s="12">
        <f>'Tabel Input-Output'!Y18*'Tabel Harga'!$F18</f>
        <v>200000</v>
      </c>
      <c r="Z18" s="12">
        <f>'Tabel Input-Output'!Z18*'Tabel Harga'!$F18</f>
        <v>200000</v>
      </c>
      <c r="AA18" s="12">
        <f>'Tabel Input-Output'!AA18*'Tabel Harga'!$F18</f>
        <v>200000</v>
      </c>
      <c r="AB18" s="12">
        <f>'Tabel Input-Output'!AB18*'Tabel Harga'!$F18</f>
        <v>200000</v>
      </c>
      <c r="AC18" s="12">
        <f>'Tabel Input-Output'!AC18*'Tabel Harga'!$F18</f>
        <v>200000</v>
      </c>
      <c r="AD18" s="12">
        <f>'Tabel Input-Output'!AD18*'Tabel Harga'!$F18</f>
        <v>200000</v>
      </c>
      <c r="AE18" s="12">
        <f>'Tabel Input-Output'!AE18*'Tabel Harga'!$F18</f>
        <v>200000</v>
      </c>
      <c r="AF18" s="12">
        <f>'Tabel Input-Output'!AF18*'Tabel Harga'!$F18</f>
        <v>200000</v>
      </c>
      <c r="AG18" s="12">
        <f>'Tabel Input-Output'!AG18*'Tabel Harga'!$F18</f>
        <v>200000</v>
      </c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</row>
    <row r="19" spans="2:49" x14ac:dyDescent="0.3">
      <c r="B19" s="86" t="s">
        <v>38</v>
      </c>
      <c r="C19" s="19" t="s">
        <v>5</v>
      </c>
      <c r="D19" s="12">
        <f>'Tabel Input-Output'!D19*'Tabel Harga'!$F$19</f>
        <v>0</v>
      </c>
      <c r="E19" s="12">
        <f>'Tabel Input-Output'!E19*'Tabel Harga'!$F$19</f>
        <v>0</v>
      </c>
      <c r="F19" s="12">
        <f>'Tabel Input-Output'!F19*'Tabel Harga'!$F$19</f>
        <v>0</v>
      </c>
      <c r="G19" s="12">
        <f>'Tabel Input-Output'!G19*'Tabel Harga'!$F$19</f>
        <v>100000</v>
      </c>
      <c r="H19" s="12">
        <f>'Tabel Input-Output'!H19*'Tabel Harga'!$F$19</f>
        <v>0</v>
      </c>
      <c r="I19" s="12">
        <f>'Tabel Input-Output'!I19*'Tabel Harga'!$F$19</f>
        <v>0</v>
      </c>
      <c r="J19" s="12">
        <f>'Tabel Input-Output'!J19*'Tabel Harga'!$F$19</f>
        <v>0</v>
      </c>
      <c r="K19" s="12">
        <f>'Tabel Input-Output'!K19*'Tabel Harga'!$F$19</f>
        <v>0</v>
      </c>
      <c r="L19" s="12">
        <f>'Tabel Input-Output'!L19*'Tabel Harga'!$F$19</f>
        <v>100000</v>
      </c>
      <c r="M19" s="12">
        <f>'Tabel Input-Output'!M19*'Tabel Harga'!$F$19</f>
        <v>0</v>
      </c>
      <c r="N19" s="12">
        <f>'Tabel Input-Output'!N19*'Tabel Harga'!$F$19</f>
        <v>0</v>
      </c>
      <c r="O19" s="12">
        <f>'Tabel Input-Output'!O19*'Tabel Harga'!$F$19</f>
        <v>0</v>
      </c>
      <c r="P19" s="12">
        <f>'Tabel Input-Output'!P19*'Tabel Harga'!$F$19</f>
        <v>0</v>
      </c>
      <c r="Q19" s="12">
        <f>'Tabel Input-Output'!Q19*'Tabel Harga'!$F$19</f>
        <v>100000</v>
      </c>
      <c r="R19" s="12">
        <f>'Tabel Input-Output'!R19*'Tabel Harga'!$F$19</f>
        <v>0</v>
      </c>
      <c r="S19" s="12">
        <f>'Tabel Input-Output'!S19*'Tabel Harga'!$F$19</f>
        <v>0</v>
      </c>
      <c r="T19" s="12">
        <f>'Tabel Input-Output'!T19*'Tabel Harga'!$F$19</f>
        <v>0</v>
      </c>
      <c r="U19" s="12">
        <f>'Tabel Input-Output'!U19*'Tabel Harga'!$F$19</f>
        <v>0</v>
      </c>
      <c r="V19" s="12">
        <f>'Tabel Input-Output'!V19*'Tabel Harga'!$F$19</f>
        <v>100000</v>
      </c>
      <c r="W19" s="12">
        <f>'Tabel Input-Output'!W19*'Tabel Harga'!$F$19</f>
        <v>0</v>
      </c>
      <c r="X19" s="12">
        <f>'Tabel Input-Output'!X19*'Tabel Harga'!$F$19</f>
        <v>0</v>
      </c>
      <c r="Y19" s="12">
        <f>'Tabel Input-Output'!Y19*'Tabel Harga'!$F$19</f>
        <v>0</v>
      </c>
      <c r="Z19" s="12">
        <f>'Tabel Input-Output'!Z19*'Tabel Harga'!$F$19</f>
        <v>0</v>
      </c>
      <c r="AA19" s="12">
        <f>'Tabel Input-Output'!AA19*'Tabel Harga'!$F$19</f>
        <v>100000</v>
      </c>
      <c r="AB19" s="12">
        <f>'Tabel Input-Output'!AB19*'Tabel Harga'!$F$19</f>
        <v>0</v>
      </c>
      <c r="AC19" s="12">
        <f>'Tabel Input-Output'!AC19*'Tabel Harga'!$F$19</f>
        <v>0</v>
      </c>
      <c r="AD19" s="12">
        <f>'Tabel Input-Output'!AD19*'Tabel Harga'!$F$19</f>
        <v>0</v>
      </c>
      <c r="AE19" s="12">
        <f>'Tabel Input-Output'!AE19*'Tabel Harga'!$F$19</f>
        <v>0</v>
      </c>
      <c r="AF19" s="12">
        <f>'Tabel Input-Output'!AF19*'Tabel Harga'!$F$19</f>
        <v>100000</v>
      </c>
      <c r="AG19" s="12">
        <f>'Tabel Input-Output'!AG19*'Tabel Harga'!$F$19</f>
        <v>0</v>
      </c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</row>
    <row r="20" spans="2:49" x14ac:dyDescent="0.3">
      <c r="B20" s="35" t="s">
        <v>39</v>
      </c>
      <c r="C20" s="19" t="s">
        <v>5</v>
      </c>
      <c r="D20" s="12">
        <f>'Tabel Input-Output'!D20*'Tabel Harga'!$F$20</f>
        <v>150000</v>
      </c>
      <c r="E20" s="12">
        <f>'Tabel Input-Output'!E20*'Tabel Harga'!$F$20</f>
        <v>0</v>
      </c>
      <c r="F20" s="12">
        <f>'Tabel Input-Output'!F20*'Tabel Harga'!$F$20</f>
        <v>150000</v>
      </c>
      <c r="G20" s="12">
        <f>'Tabel Input-Output'!G20*'Tabel Harga'!$F$20</f>
        <v>0</v>
      </c>
      <c r="H20" s="12">
        <f>'Tabel Input-Output'!H20*'Tabel Harga'!$F$20</f>
        <v>150000</v>
      </c>
      <c r="I20" s="12">
        <f>'Tabel Input-Output'!I20*'Tabel Harga'!$F$20</f>
        <v>0</v>
      </c>
      <c r="J20" s="12">
        <f>'Tabel Input-Output'!J20*'Tabel Harga'!$F$20</f>
        <v>150000</v>
      </c>
      <c r="K20" s="12">
        <f>'Tabel Input-Output'!K20*'Tabel Harga'!$F$20</f>
        <v>0</v>
      </c>
      <c r="L20" s="12">
        <f>'Tabel Input-Output'!L20*'Tabel Harga'!$F$20</f>
        <v>150000</v>
      </c>
      <c r="M20" s="12">
        <f>'Tabel Input-Output'!M20*'Tabel Harga'!$F$20</f>
        <v>0</v>
      </c>
      <c r="N20" s="12">
        <f>'Tabel Input-Output'!N20*'Tabel Harga'!$F$20</f>
        <v>150000</v>
      </c>
      <c r="O20" s="12">
        <f>'Tabel Input-Output'!O20*'Tabel Harga'!$F$20</f>
        <v>0</v>
      </c>
      <c r="P20" s="12">
        <f>'Tabel Input-Output'!P20*'Tabel Harga'!$F$20</f>
        <v>150000</v>
      </c>
      <c r="Q20" s="12">
        <f>'Tabel Input-Output'!Q20*'Tabel Harga'!$F$20</f>
        <v>0</v>
      </c>
      <c r="R20" s="12">
        <f>'Tabel Input-Output'!R20*'Tabel Harga'!$F$20</f>
        <v>150000</v>
      </c>
      <c r="S20" s="12">
        <f>'Tabel Input-Output'!S20*'Tabel Harga'!$F$20</f>
        <v>0</v>
      </c>
      <c r="T20" s="12">
        <f>'Tabel Input-Output'!T20*'Tabel Harga'!$F$20</f>
        <v>150000</v>
      </c>
      <c r="U20" s="12">
        <f>'Tabel Input-Output'!U20*'Tabel Harga'!$F$20</f>
        <v>0</v>
      </c>
      <c r="V20" s="12">
        <f>'Tabel Input-Output'!V20*'Tabel Harga'!$F$20</f>
        <v>150000</v>
      </c>
      <c r="W20" s="12">
        <f>'Tabel Input-Output'!W20*'Tabel Harga'!$F$20</f>
        <v>0</v>
      </c>
      <c r="X20" s="12">
        <f>'Tabel Input-Output'!X20*'Tabel Harga'!$F$20</f>
        <v>150000</v>
      </c>
      <c r="Y20" s="12">
        <f>'Tabel Input-Output'!Y20*'Tabel Harga'!$F$20</f>
        <v>0</v>
      </c>
      <c r="Z20" s="12">
        <f>'Tabel Input-Output'!Z20*'Tabel Harga'!$F$20</f>
        <v>150000</v>
      </c>
      <c r="AA20" s="12">
        <f>'Tabel Input-Output'!AA20*'Tabel Harga'!$F$20</f>
        <v>0</v>
      </c>
      <c r="AB20" s="12">
        <f>'Tabel Input-Output'!AB20*'Tabel Harga'!$F$20</f>
        <v>150000</v>
      </c>
      <c r="AC20" s="12">
        <f>'Tabel Input-Output'!AC20*'Tabel Harga'!$F$20</f>
        <v>0</v>
      </c>
      <c r="AD20" s="12">
        <f>'Tabel Input-Output'!AD20*'Tabel Harga'!$F$20</f>
        <v>150000</v>
      </c>
      <c r="AE20" s="12">
        <f>'Tabel Input-Output'!AE20*'Tabel Harga'!$F$20</f>
        <v>0</v>
      </c>
      <c r="AF20" s="12">
        <f>'Tabel Input-Output'!AF20*'Tabel Harga'!$F$20</f>
        <v>150000</v>
      </c>
      <c r="AG20" s="12">
        <f>'Tabel Input-Output'!AG20*'Tabel Harga'!$F$20</f>
        <v>0</v>
      </c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</row>
    <row r="21" spans="2:49" x14ac:dyDescent="0.3">
      <c r="B21" s="86" t="s">
        <v>92</v>
      </c>
      <c r="C21" s="19" t="s">
        <v>5</v>
      </c>
      <c r="D21" s="12">
        <f>'Tabel Input-Output'!D21*'Tabel Harga'!$F$21</f>
        <v>300000</v>
      </c>
      <c r="E21" s="12">
        <f>'Tabel Input-Output'!E21*'Tabel Harga'!$F$21</f>
        <v>0</v>
      </c>
      <c r="F21" s="12">
        <f>'Tabel Input-Output'!F21*'Tabel Harga'!$F$21</f>
        <v>0</v>
      </c>
      <c r="G21" s="12">
        <f>'Tabel Input-Output'!G21*'Tabel Harga'!$F$21</f>
        <v>0</v>
      </c>
      <c r="H21" s="12">
        <f>'Tabel Input-Output'!H21*'Tabel Harga'!$F$21</f>
        <v>0</v>
      </c>
      <c r="I21" s="12">
        <f>'Tabel Input-Output'!I21*'Tabel Harga'!$F$21</f>
        <v>0</v>
      </c>
      <c r="J21" s="12">
        <f>'Tabel Input-Output'!J21*'Tabel Harga'!$F$21</f>
        <v>0</v>
      </c>
      <c r="K21" s="12">
        <f>'Tabel Input-Output'!K21*'Tabel Harga'!$F$21</f>
        <v>0</v>
      </c>
      <c r="L21" s="12">
        <f>'Tabel Input-Output'!L21*'Tabel Harga'!$F$21</f>
        <v>0</v>
      </c>
      <c r="M21" s="12">
        <f>'Tabel Input-Output'!M21*'Tabel Harga'!$F$21</f>
        <v>300000</v>
      </c>
      <c r="N21" s="12">
        <f>'Tabel Input-Output'!N21*'Tabel Harga'!$F$21</f>
        <v>0</v>
      </c>
      <c r="O21" s="12">
        <f>'Tabel Input-Output'!O21*'Tabel Harga'!$F$21</f>
        <v>0</v>
      </c>
      <c r="P21" s="12">
        <f>'Tabel Input-Output'!P21*'Tabel Harga'!$F$21</f>
        <v>0</v>
      </c>
      <c r="Q21" s="12">
        <f>'Tabel Input-Output'!Q21*'Tabel Harga'!$F$21</f>
        <v>0</v>
      </c>
      <c r="R21" s="12">
        <f>'Tabel Input-Output'!R21*'Tabel Harga'!$F$21</f>
        <v>0</v>
      </c>
      <c r="S21" s="12">
        <f>'Tabel Input-Output'!S21*'Tabel Harga'!$F$21</f>
        <v>0</v>
      </c>
      <c r="T21" s="12">
        <f>'Tabel Input-Output'!T21*'Tabel Harga'!$F$21</f>
        <v>0</v>
      </c>
      <c r="U21" s="12">
        <f>'Tabel Input-Output'!U21*'Tabel Harga'!$F$21</f>
        <v>0</v>
      </c>
      <c r="V21" s="12">
        <f>'Tabel Input-Output'!V21*'Tabel Harga'!$F$21</f>
        <v>0</v>
      </c>
      <c r="W21" s="12">
        <f>'Tabel Input-Output'!W21*'Tabel Harga'!$F$21</f>
        <v>300000</v>
      </c>
      <c r="X21" s="12">
        <f>'Tabel Input-Output'!X21*'Tabel Harga'!$F$21</f>
        <v>0</v>
      </c>
      <c r="Y21" s="12">
        <f>'Tabel Input-Output'!Y21*'Tabel Harga'!$F$21</f>
        <v>0</v>
      </c>
      <c r="Z21" s="12">
        <f>'Tabel Input-Output'!Z21*'Tabel Harga'!$F$21</f>
        <v>0</v>
      </c>
      <c r="AA21" s="12">
        <f>'Tabel Input-Output'!AA21*'Tabel Harga'!$F$21</f>
        <v>0</v>
      </c>
      <c r="AB21" s="12">
        <f>'Tabel Input-Output'!AB21*'Tabel Harga'!$F$21</f>
        <v>0</v>
      </c>
      <c r="AC21" s="12">
        <f>'Tabel Input-Output'!AC21*'Tabel Harga'!$F$21</f>
        <v>0</v>
      </c>
      <c r="AD21" s="12">
        <f>'Tabel Input-Output'!AD21*'Tabel Harga'!$F$21</f>
        <v>0</v>
      </c>
      <c r="AE21" s="12">
        <f>'Tabel Input-Output'!AE21*'Tabel Harga'!$F$21</f>
        <v>0</v>
      </c>
      <c r="AF21" s="12">
        <f>'Tabel Input-Output'!AF21*'Tabel Harga'!$F$21</f>
        <v>0</v>
      </c>
      <c r="AG21" s="12">
        <f>'Tabel Input-Output'!AG21*'Tabel Harga'!$F$21</f>
        <v>300000</v>
      </c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</row>
    <row r="22" spans="2:49" x14ac:dyDescent="0.3">
      <c r="B22" s="86" t="s">
        <v>93</v>
      </c>
      <c r="C22" s="19" t="s">
        <v>5</v>
      </c>
      <c r="D22" s="12">
        <f>'Tabel Input-Output'!D22*'Tabel Harga'!$F$22</f>
        <v>20000</v>
      </c>
      <c r="E22" s="12">
        <f>'Tabel Input-Output'!E22*'Tabel Harga'!$F$22</f>
        <v>0</v>
      </c>
      <c r="F22" s="12">
        <f>'Tabel Input-Output'!F22*'Tabel Harga'!$F$22</f>
        <v>20000</v>
      </c>
      <c r="G22" s="12">
        <f>'Tabel Input-Output'!G22*'Tabel Harga'!$F$22</f>
        <v>0</v>
      </c>
      <c r="H22" s="12">
        <f>'Tabel Input-Output'!H22*'Tabel Harga'!$F$22</f>
        <v>20000</v>
      </c>
      <c r="I22" s="12">
        <f>'Tabel Input-Output'!I22*'Tabel Harga'!$F$22</f>
        <v>0</v>
      </c>
      <c r="J22" s="12">
        <f>'Tabel Input-Output'!J22*'Tabel Harga'!$F$22</f>
        <v>20000</v>
      </c>
      <c r="K22" s="12">
        <f>'Tabel Input-Output'!K22*'Tabel Harga'!$F$22</f>
        <v>0</v>
      </c>
      <c r="L22" s="12">
        <f>'Tabel Input-Output'!L22*'Tabel Harga'!$F$22</f>
        <v>20000</v>
      </c>
      <c r="M22" s="12">
        <f>'Tabel Input-Output'!M22*'Tabel Harga'!$F$22</f>
        <v>0</v>
      </c>
      <c r="N22" s="12">
        <f>'Tabel Input-Output'!N22*'Tabel Harga'!$F$22</f>
        <v>20000</v>
      </c>
      <c r="O22" s="12">
        <f>'Tabel Input-Output'!O22*'Tabel Harga'!$F$22</f>
        <v>0</v>
      </c>
      <c r="P22" s="12">
        <f>'Tabel Input-Output'!P22*'Tabel Harga'!$F$22</f>
        <v>20000</v>
      </c>
      <c r="Q22" s="12">
        <f>'Tabel Input-Output'!Q22*'Tabel Harga'!$F$22</f>
        <v>0</v>
      </c>
      <c r="R22" s="12">
        <f>'Tabel Input-Output'!R22*'Tabel Harga'!$F$22</f>
        <v>20000</v>
      </c>
      <c r="S22" s="12">
        <f>'Tabel Input-Output'!S22*'Tabel Harga'!$F$22</f>
        <v>0</v>
      </c>
      <c r="T22" s="12">
        <f>'Tabel Input-Output'!T22*'Tabel Harga'!$F$22</f>
        <v>20000</v>
      </c>
      <c r="U22" s="12">
        <f>'Tabel Input-Output'!U22*'Tabel Harga'!$F$22</f>
        <v>0</v>
      </c>
      <c r="V22" s="12">
        <f>'Tabel Input-Output'!V22*'Tabel Harga'!$F$22</f>
        <v>20000</v>
      </c>
      <c r="W22" s="12">
        <f>'Tabel Input-Output'!W22*'Tabel Harga'!$F$22</f>
        <v>0</v>
      </c>
      <c r="X22" s="12">
        <f>'Tabel Input-Output'!X22*'Tabel Harga'!$F$22</f>
        <v>20000</v>
      </c>
      <c r="Y22" s="12">
        <f>'Tabel Input-Output'!Y22*'Tabel Harga'!$F$22</f>
        <v>0</v>
      </c>
      <c r="Z22" s="12">
        <f>'Tabel Input-Output'!Z22*'Tabel Harga'!$F$22</f>
        <v>20000</v>
      </c>
      <c r="AA22" s="12">
        <f>'Tabel Input-Output'!AA22*'Tabel Harga'!$F$22</f>
        <v>0</v>
      </c>
      <c r="AB22" s="12">
        <f>'Tabel Input-Output'!AB22*'Tabel Harga'!$F$22</f>
        <v>20000</v>
      </c>
      <c r="AC22" s="12">
        <f>'Tabel Input-Output'!AC22*'Tabel Harga'!$F$22</f>
        <v>0</v>
      </c>
      <c r="AD22" s="12">
        <f>'Tabel Input-Output'!AD22*'Tabel Harga'!$F$22</f>
        <v>20000</v>
      </c>
      <c r="AE22" s="12">
        <f>'Tabel Input-Output'!AE22*'Tabel Harga'!$F$22</f>
        <v>0</v>
      </c>
      <c r="AF22" s="12">
        <f>'Tabel Input-Output'!AF22*'Tabel Harga'!$F$22</f>
        <v>20000</v>
      </c>
      <c r="AG22" s="12">
        <f>'Tabel Input-Output'!AG22*'Tabel Harga'!$F$22</f>
        <v>0</v>
      </c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</row>
    <row r="23" spans="2:49" x14ac:dyDescent="0.3">
      <c r="B23" s="86" t="s">
        <v>106</v>
      </c>
      <c r="C23" s="19" t="s">
        <v>5</v>
      </c>
      <c r="D23" s="12">
        <f>'Tabel Input-Output'!D23*'Tabel Harga'!$F$23</f>
        <v>0</v>
      </c>
      <c r="E23" s="12">
        <f>'Tabel Input-Output'!E23*'Tabel Harga'!$F$23</f>
        <v>0</v>
      </c>
      <c r="F23" s="12">
        <f>'Tabel Input-Output'!F23*'Tabel Harga'!$F$23</f>
        <v>0</v>
      </c>
      <c r="G23" s="12">
        <f>'Tabel Input-Output'!G23*'Tabel Harga'!$F$23</f>
        <v>40000</v>
      </c>
      <c r="H23" s="12">
        <f>'Tabel Input-Output'!H23*'Tabel Harga'!$F$23</f>
        <v>40000</v>
      </c>
      <c r="I23" s="12">
        <f>'Tabel Input-Output'!I23*'Tabel Harga'!$F$23</f>
        <v>40000</v>
      </c>
      <c r="J23" s="12">
        <f>'Tabel Input-Output'!J23*'Tabel Harga'!$F$23</f>
        <v>40000</v>
      </c>
      <c r="K23" s="12">
        <f>'Tabel Input-Output'!K23*'Tabel Harga'!$F$23</f>
        <v>40000</v>
      </c>
      <c r="L23" s="12">
        <f>'Tabel Input-Output'!L23*'Tabel Harga'!$F$23</f>
        <v>40000</v>
      </c>
      <c r="M23" s="12">
        <f>'Tabel Input-Output'!M23*'Tabel Harga'!$F$23</f>
        <v>40000</v>
      </c>
      <c r="N23" s="12">
        <f>'Tabel Input-Output'!N23*'Tabel Harga'!$F$23</f>
        <v>40000</v>
      </c>
      <c r="O23" s="12">
        <f>'Tabel Input-Output'!O23*'Tabel Harga'!$F$23</f>
        <v>40000</v>
      </c>
      <c r="P23" s="12">
        <f>'Tabel Input-Output'!P23*'Tabel Harga'!$F$23</f>
        <v>40000</v>
      </c>
      <c r="Q23" s="12">
        <f>'Tabel Input-Output'!Q23*'Tabel Harga'!$F$23</f>
        <v>40000</v>
      </c>
      <c r="R23" s="12">
        <f>'Tabel Input-Output'!R23*'Tabel Harga'!$F$23</f>
        <v>40000</v>
      </c>
      <c r="S23" s="12">
        <f>'Tabel Input-Output'!S23*'Tabel Harga'!$F$23</f>
        <v>40000</v>
      </c>
      <c r="T23" s="12">
        <f>'Tabel Input-Output'!T23*'Tabel Harga'!$F$23</f>
        <v>40000</v>
      </c>
      <c r="U23" s="12">
        <f>'Tabel Input-Output'!U23*'Tabel Harga'!$F$23</f>
        <v>40000</v>
      </c>
      <c r="V23" s="12">
        <f>'Tabel Input-Output'!V23*'Tabel Harga'!$F$23</f>
        <v>40000</v>
      </c>
      <c r="W23" s="12">
        <f>'Tabel Input-Output'!W23*'Tabel Harga'!$F$23</f>
        <v>40000</v>
      </c>
      <c r="X23" s="12">
        <f>'Tabel Input-Output'!X23*'Tabel Harga'!$F$23</f>
        <v>40000</v>
      </c>
      <c r="Y23" s="12">
        <f>'Tabel Input-Output'!Y23*'Tabel Harga'!$F$23</f>
        <v>40000</v>
      </c>
      <c r="Z23" s="12">
        <f>'Tabel Input-Output'!Z23*'Tabel Harga'!$F$23</f>
        <v>40000</v>
      </c>
      <c r="AA23" s="12">
        <f>'Tabel Input-Output'!AA23*'Tabel Harga'!$F$23</f>
        <v>40000</v>
      </c>
      <c r="AB23" s="12">
        <f>'Tabel Input-Output'!AB23*'Tabel Harga'!$F$23</f>
        <v>40000</v>
      </c>
      <c r="AC23" s="12">
        <f>'Tabel Input-Output'!AC23*'Tabel Harga'!$F$23</f>
        <v>40000</v>
      </c>
      <c r="AD23" s="12">
        <f>'Tabel Input-Output'!AD23*'Tabel Harga'!$F$23</f>
        <v>40000</v>
      </c>
      <c r="AE23" s="12">
        <f>'Tabel Input-Output'!AE23*'Tabel Harga'!$F$23</f>
        <v>40000</v>
      </c>
      <c r="AF23" s="12">
        <f>'Tabel Input-Output'!AF23*'Tabel Harga'!$F$23</f>
        <v>40000</v>
      </c>
      <c r="AG23" s="12">
        <f>'Tabel Input-Output'!AG23*'Tabel Harga'!$F$23</f>
        <v>40000</v>
      </c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</row>
    <row r="24" spans="2:49" x14ac:dyDescent="0.3">
      <c r="B24" s="86"/>
      <c r="C24" s="19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</row>
    <row r="25" spans="2:49" x14ac:dyDescent="0.3">
      <c r="B25" s="16" t="s">
        <v>37</v>
      </c>
      <c r="C25" s="19"/>
      <c r="D25" s="12"/>
      <c r="E25" s="10"/>
      <c r="F25" s="10"/>
      <c r="G25" s="10"/>
      <c r="H25" s="12"/>
      <c r="I25" s="12"/>
      <c r="J25" s="12"/>
      <c r="K25" s="13"/>
      <c r="L25" s="12"/>
      <c r="M25" s="12"/>
      <c r="N25" s="13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</row>
    <row r="26" spans="2:49" x14ac:dyDescent="0.3">
      <c r="B26" s="86" t="s">
        <v>40</v>
      </c>
      <c r="C26" s="19" t="s">
        <v>5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</row>
    <row r="27" spans="2:49" x14ac:dyDescent="0.3">
      <c r="B27" s="91" t="s">
        <v>98</v>
      </c>
      <c r="C27" s="19" t="s">
        <v>5</v>
      </c>
      <c r="D27" s="12">
        <f>'Tabel Input-Output'!D27*'Tabel Harga'!$F$27</f>
        <v>1680000</v>
      </c>
      <c r="E27" s="12">
        <f>'Tabel Input-Output'!E27*'Tabel Harga'!$F$27</f>
        <v>0</v>
      </c>
      <c r="F27" s="12">
        <f>'Tabel Input-Output'!F27*'Tabel Harga'!$F$27</f>
        <v>0</v>
      </c>
      <c r="G27" s="12">
        <f>'Tabel Input-Output'!G27*'Tabel Harga'!$F$27</f>
        <v>0</v>
      </c>
      <c r="H27" s="12">
        <f>'Tabel Input-Output'!H27*'Tabel Harga'!$F$27</f>
        <v>0</v>
      </c>
      <c r="I27" s="12">
        <f>'Tabel Input-Output'!I27*'Tabel Harga'!$F$27</f>
        <v>0</v>
      </c>
      <c r="J27" s="12">
        <f>'Tabel Input-Output'!J27*'Tabel Harga'!$F$27</f>
        <v>0</v>
      </c>
      <c r="K27" s="12">
        <f>'Tabel Input-Output'!K27*'Tabel Harga'!$F$27</f>
        <v>0</v>
      </c>
      <c r="L27" s="12">
        <f>'Tabel Input-Output'!L27*'Tabel Harga'!$F$27</f>
        <v>0</v>
      </c>
      <c r="M27" s="12">
        <f>'Tabel Input-Output'!M27*'Tabel Harga'!$F$27</f>
        <v>0</v>
      </c>
      <c r="N27" s="12">
        <f>'Tabel Input-Output'!N27*'Tabel Harga'!$F$27</f>
        <v>0</v>
      </c>
      <c r="O27" s="12">
        <f>'Tabel Input-Output'!O27*'Tabel Harga'!$F$27</f>
        <v>0</v>
      </c>
      <c r="P27" s="12">
        <f>'Tabel Input-Output'!P27*'Tabel Harga'!$F$27</f>
        <v>0</v>
      </c>
      <c r="Q27" s="12">
        <f>'Tabel Input-Output'!Q27*'Tabel Harga'!$F$27</f>
        <v>0</v>
      </c>
      <c r="R27" s="12">
        <f>'Tabel Input-Output'!R27*'Tabel Harga'!$F$27</f>
        <v>0</v>
      </c>
      <c r="S27" s="12">
        <f>'Tabel Input-Output'!S27*'Tabel Harga'!$F$27</f>
        <v>0</v>
      </c>
      <c r="T27" s="12">
        <f>'Tabel Input-Output'!T27*'Tabel Harga'!$F$27</f>
        <v>0</v>
      </c>
      <c r="U27" s="12">
        <f>'Tabel Input-Output'!U27*'Tabel Harga'!$F$27</f>
        <v>0</v>
      </c>
      <c r="V27" s="12">
        <f>'Tabel Input-Output'!V27*'Tabel Harga'!$F$27</f>
        <v>0</v>
      </c>
      <c r="W27" s="12">
        <f>'Tabel Input-Output'!W27*'Tabel Harga'!$F$27</f>
        <v>0</v>
      </c>
      <c r="X27" s="12">
        <f>'Tabel Input-Output'!X27*'Tabel Harga'!$F$27</f>
        <v>0</v>
      </c>
      <c r="Y27" s="12">
        <f>'Tabel Input-Output'!Y27*'Tabel Harga'!$F$27</f>
        <v>0</v>
      </c>
      <c r="Z27" s="12">
        <f>'Tabel Input-Output'!Z27*'Tabel Harga'!$F$27</f>
        <v>0</v>
      </c>
      <c r="AA27" s="12">
        <f>'Tabel Input-Output'!AA27*'Tabel Harga'!$F$27</f>
        <v>0</v>
      </c>
      <c r="AB27" s="12">
        <f>'Tabel Input-Output'!AB27*'Tabel Harga'!$F$27</f>
        <v>0</v>
      </c>
      <c r="AC27" s="12">
        <f>'Tabel Input-Output'!AC27*'Tabel Harga'!$F$27</f>
        <v>0</v>
      </c>
      <c r="AD27" s="12">
        <f>'Tabel Input-Output'!AD27*'Tabel Harga'!$F$27</f>
        <v>0</v>
      </c>
      <c r="AE27" s="12">
        <f>'Tabel Input-Output'!AE27*'Tabel Harga'!$F$27</f>
        <v>0</v>
      </c>
      <c r="AF27" s="12">
        <f>'Tabel Input-Output'!AF27*'Tabel Harga'!$F$27</f>
        <v>0</v>
      </c>
      <c r="AG27" s="12">
        <f>'Tabel Input-Output'!AG27*'Tabel Harga'!$F$27</f>
        <v>0</v>
      </c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</row>
    <row r="28" spans="2:49" x14ac:dyDescent="0.3">
      <c r="B28" s="91" t="s">
        <v>97</v>
      </c>
      <c r="C28" s="19" t="s">
        <v>5</v>
      </c>
      <c r="D28" s="12">
        <f>'Tabel Input-Output'!D28*'Tabel Harga'!$F$28</f>
        <v>70000</v>
      </c>
      <c r="E28" s="12">
        <f>'Tabel Input-Output'!E28*'Tabel Harga'!$F$28</f>
        <v>0</v>
      </c>
      <c r="F28" s="12">
        <f>'Tabel Input-Output'!F28*'Tabel Harga'!$F$28</f>
        <v>0</v>
      </c>
      <c r="G28" s="12">
        <f>'Tabel Input-Output'!G28*'Tabel Harga'!$F$28</f>
        <v>0</v>
      </c>
      <c r="H28" s="12">
        <f>'Tabel Input-Output'!H28*'Tabel Harga'!$F$28</f>
        <v>0</v>
      </c>
      <c r="I28" s="12">
        <f>'Tabel Input-Output'!I28*'Tabel Harga'!$F$28</f>
        <v>0</v>
      </c>
      <c r="J28" s="12">
        <f>'Tabel Input-Output'!J28*'Tabel Harga'!$F$28</f>
        <v>0</v>
      </c>
      <c r="K28" s="12">
        <f>'Tabel Input-Output'!K28*'Tabel Harga'!$F$28</f>
        <v>0</v>
      </c>
      <c r="L28" s="12">
        <f>'Tabel Input-Output'!L28*'Tabel Harga'!$F$28</f>
        <v>0</v>
      </c>
      <c r="M28" s="12">
        <f>'Tabel Input-Output'!M28*'Tabel Harga'!$F$28</f>
        <v>0</v>
      </c>
      <c r="N28" s="12">
        <f>'Tabel Input-Output'!N28*'Tabel Harga'!$F$28</f>
        <v>0</v>
      </c>
      <c r="O28" s="12">
        <f>'Tabel Input-Output'!O28*'Tabel Harga'!$F$28</f>
        <v>0</v>
      </c>
      <c r="P28" s="12">
        <f>'Tabel Input-Output'!P28*'Tabel Harga'!$F$28</f>
        <v>0</v>
      </c>
      <c r="Q28" s="12">
        <f>'Tabel Input-Output'!Q28*'Tabel Harga'!$F$28</f>
        <v>0</v>
      </c>
      <c r="R28" s="12">
        <f>'Tabel Input-Output'!R28*'Tabel Harga'!$F$28</f>
        <v>0</v>
      </c>
      <c r="S28" s="12">
        <f>'Tabel Input-Output'!S28*'Tabel Harga'!$F$28</f>
        <v>0</v>
      </c>
      <c r="T28" s="12">
        <f>'Tabel Input-Output'!T28*'Tabel Harga'!$F$28</f>
        <v>0</v>
      </c>
      <c r="U28" s="12">
        <f>'Tabel Input-Output'!U28*'Tabel Harga'!$F$28</f>
        <v>0</v>
      </c>
      <c r="V28" s="12">
        <f>'Tabel Input-Output'!V28*'Tabel Harga'!$F$28</f>
        <v>0</v>
      </c>
      <c r="W28" s="12">
        <f>'Tabel Input-Output'!W28*'Tabel Harga'!$F$28</f>
        <v>0</v>
      </c>
      <c r="X28" s="12">
        <f>'Tabel Input-Output'!X28*'Tabel Harga'!$F$28</f>
        <v>0</v>
      </c>
      <c r="Y28" s="12">
        <f>'Tabel Input-Output'!Y28*'Tabel Harga'!$F$28</f>
        <v>0</v>
      </c>
      <c r="Z28" s="12">
        <f>'Tabel Input-Output'!Z28*'Tabel Harga'!$F$28</f>
        <v>0</v>
      </c>
      <c r="AA28" s="12">
        <f>'Tabel Input-Output'!AA28*'Tabel Harga'!$F$28</f>
        <v>0</v>
      </c>
      <c r="AB28" s="12">
        <f>'Tabel Input-Output'!AB28*'Tabel Harga'!$F$28</f>
        <v>0</v>
      </c>
      <c r="AC28" s="12">
        <f>'Tabel Input-Output'!AC28*'Tabel Harga'!$F$28</f>
        <v>0</v>
      </c>
      <c r="AD28" s="12">
        <f>'Tabel Input-Output'!AD28*'Tabel Harga'!$F$28</f>
        <v>0</v>
      </c>
      <c r="AE28" s="12">
        <f>'Tabel Input-Output'!AE28*'Tabel Harga'!$F$28</f>
        <v>0</v>
      </c>
      <c r="AF28" s="12">
        <f>'Tabel Input-Output'!AF28*'Tabel Harga'!$F$28</f>
        <v>0</v>
      </c>
      <c r="AG28" s="12">
        <f>'Tabel Input-Output'!AG28*'Tabel Harga'!$F$28</f>
        <v>0</v>
      </c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</row>
    <row r="29" spans="2:49" x14ac:dyDescent="0.3">
      <c r="B29" s="86" t="s">
        <v>84</v>
      </c>
      <c r="C29" s="19" t="s">
        <v>5</v>
      </c>
      <c r="D29" s="12">
        <f>'Tabel Input-Output'!D29*'Tabel Harga'!$F$29</f>
        <v>490000</v>
      </c>
      <c r="E29" s="12">
        <f>'Tabel Input-Output'!E29*'Tabel Harga'!$F$29</f>
        <v>0</v>
      </c>
      <c r="F29" s="12">
        <f>'Tabel Input-Output'!F29*'Tabel Harga'!$F$29</f>
        <v>0</v>
      </c>
      <c r="G29" s="12">
        <f>'Tabel Input-Output'!G29*'Tabel Harga'!$F$29</f>
        <v>0</v>
      </c>
      <c r="H29" s="12">
        <f>'Tabel Input-Output'!H29*'Tabel Harga'!$F$29</f>
        <v>0</v>
      </c>
      <c r="I29" s="12">
        <f>'Tabel Input-Output'!I29*'Tabel Harga'!$F$29</f>
        <v>0</v>
      </c>
      <c r="J29" s="12">
        <f>'Tabel Input-Output'!J29*'Tabel Harga'!$F$29</f>
        <v>0</v>
      </c>
      <c r="K29" s="12">
        <f>'Tabel Input-Output'!K29*'Tabel Harga'!$F$29</f>
        <v>0</v>
      </c>
      <c r="L29" s="12">
        <f>'Tabel Input-Output'!L29*'Tabel Harga'!$F$29</f>
        <v>0</v>
      </c>
      <c r="M29" s="12">
        <f>'Tabel Input-Output'!M29*'Tabel Harga'!$F$29</f>
        <v>0</v>
      </c>
      <c r="N29" s="12">
        <f>'Tabel Input-Output'!N29*'Tabel Harga'!$F$29</f>
        <v>0</v>
      </c>
      <c r="O29" s="12">
        <f>'Tabel Input-Output'!O29*'Tabel Harga'!$F$29</f>
        <v>0</v>
      </c>
      <c r="P29" s="12">
        <f>'Tabel Input-Output'!P29*'Tabel Harga'!$F$29</f>
        <v>0</v>
      </c>
      <c r="Q29" s="12">
        <f>'Tabel Input-Output'!Q29*'Tabel Harga'!$F$29</f>
        <v>0</v>
      </c>
      <c r="R29" s="12">
        <f>'Tabel Input-Output'!R29*'Tabel Harga'!$F$29</f>
        <v>0</v>
      </c>
      <c r="S29" s="12">
        <f>'Tabel Input-Output'!S29*'Tabel Harga'!$F$29</f>
        <v>0</v>
      </c>
      <c r="T29" s="12">
        <f>'Tabel Input-Output'!T29*'Tabel Harga'!$F$29</f>
        <v>0</v>
      </c>
      <c r="U29" s="12">
        <f>'Tabel Input-Output'!U29*'Tabel Harga'!$F$29</f>
        <v>0</v>
      </c>
      <c r="V29" s="12">
        <f>'Tabel Input-Output'!V29*'Tabel Harga'!$F$29</f>
        <v>0</v>
      </c>
      <c r="W29" s="12">
        <f>'Tabel Input-Output'!W29*'Tabel Harga'!$F$29</f>
        <v>0</v>
      </c>
      <c r="X29" s="12">
        <f>'Tabel Input-Output'!X29*'Tabel Harga'!$F$29</f>
        <v>0</v>
      </c>
      <c r="Y29" s="12">
        <f>'Tabel Input-Output'!Y29*'Tabel Harga'!$F$29</f>
        <v>0</v>
      </c>
      <c r="Z29" s="12">
        <f>'Tabel Input-Output'!Z29*'Tabel Harga'!$F$29</f>
        <v>0</v>
      </c>
      <c r="AA29" s="12">
        <f>'Tabel Input-Output'!AA29*'Tabel Harga'!$F$29</f>
        <v>0</v>
      </c>
      <c r="AB29" s="12">
        <f>'Tabel Input-Output'!AB29*'Tabel Harga'!$F$29</f>
        <v>0</v>
      </c>
      <c r="AC29" s="12">
        <f>'Tabel Input-Output'!AC29*'Tabel Harga'!$F$29</f>
        <v>0</v>
      </c>
      <c r="AD29" s="12">
        <f>'Tabel Input-Output'!AD29*'Tabel Harga'!$F$29</f>
        <v>0</v>
      </c>
      <c r="AE29" s="12">
        <f>'Tabel Input-Output'!AE29*'Tabel Harga'!$F$29</f>
        <v>0</v>
      </c>
      <c r="AF29" s="12">
        <f>'Tabel Input-Output'!AF29*'Tabel Harga'!$F$29</f>
        <v>0</v>
      </c>
      <c r="AG29" s="12">
        <f>'Tabel Input-Output'!AG29*'Tabel Harga'!$F$29</f>
        <v>0</v>
      </c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</row>
    <row r="30" spans="2:49" x14ac:dyDescent="0.3">
      <c r="B30" s="86" t="s">
        <v>85</v>
      </c>
      <c r="C30" s="19" t="s">
        <v>5</v>
      </c>
      <c r="D30" s="12">
        <f>'Tabel Input-Output'!D30*'Tabel Harga'!$F$30</f>
        <v>0</v>
      </c>
      <c r="E30" s="12">
        <f>'Tabel Input-Output'!E30*'Tabel Harga'!$F$30</f>
        <v>210000</v>
      </c>
      <c r="F30" s="12">
        <f>'Tabel Input-Output'!F30*'Tabel Harga'!$F$30</f>
        <v>210000</v>
      </c>
      <c r="G30" s="12">
        <f>'Tabel Input-Output'!G30*'Tabel Harga'!$F$30</f>
        <v>210000</v>
      </c>
      <c r="H30" s="12">
        <f>'Tabel Input-Output'!H30*'Tabel Harga'!$F$30</f>
        <v>210000</v>
      </c>
      <c r="I30" s="12">
        <f>'Tabel Input-Output'!I30*'Tabel Harga'!$F$30</f>
        <v>210000</v>
      </c>
      <c r="J30" s="12">
        <f>'Tabel Input-Output'!J30*'Tabel Harga'!$F$30</f>
        <v>210000</v>
      </c>
      <c r="K30" s="12">
        <f>'Tabel Input-Output'!K30*'Tabel Harga'!$F$30</f>
        <v>210000</v>
      </c>
      <c r="L30" s="12">
        <f>'Tabel Input-Output'!L30*'Tabel Harga'!$F$30</f>
        <v>210000</v>
      </c>
      <c r="M30" s="12">
        <f>'Tabel Input-Output'!M30*'Tabel Harga'!$F$30</f>
        <v>210000</v>
      </c>
      <c r="N30" s="12">
        <f>'Tabel Input-Output'!N30*'Tabel Harga'!$F$30</f>
        <v>210000</v>
      </c>
      <c r="O30" s="12">
        <f>'Tabel Input-Output'!O30*'Tabel Harga'!$F$30</f>
        <v>210000</v>
      </c>
      <c r="P30" s="12">
        <f>'Tabel Input-Output'!P30*'Tabel Harga'!$F$30</f>
        <v>210000</v>
      </c>
      <c r="Q30" s="12">
        <f>'Tabel Input-Output'!Q30*'Tabel Harga'!$F$30</f>
        <v>210000</v>
      </c>
      <c r="R30" s="12">
        <f>'Tabel Input-Output'!R30*'Tabel Harga'!$F$30</f>
        <v>210000</v>
      </c>
      <c r="S30" s="12">
        <f>'Tabel Input-Output'!S30*'Tabel Harga'!$F$30</f>
        <v>210000</v>
      </c>
      <c r="T30" s="12">
        <f>'Tabel Input-Output'!T30*'Tabel Harga'!$F$30</f>
        <v>210000</v>
      </c>
      <c r="U30" s="12">
        <f>'Tabel Input-Output'!U30*'Tabel Harga'!$F$30</f>
        <v>210000</v>
      </c>
      <c r="V30" s="12">
        <f>'Tabel Input-Output'!V30*'Tabel Harga'!$F$30</f>
        <v>210000</v>
      </c>
      <c r="W30" s="12">
        <f>'Tabel Input-Output'!W30*'Tabel Harga'!$F$30</f>
        <v>210000</v>
      </c>
      <c r="X30" s="12">
        <f>'Tabel Input-Output'!X30*'Tabel Harga'!$F$30</f>
        <v>210000</v>
      </c>
      <c r="Y30" s="12">
        <f>'Tabel Input-Output'!Y30*'Tabel Harga'!$F$30</f>
        <v>210000</v>
      </c>
      <c r="Z30" s="12">
        <f>'Tabel Input-Output'!Z30*'Tabel Harga'!$F$30</f>
        <v>210000</v>
      </c>
      <c r="AA30" s="12">
        <f>'Tabel Input-Output'!AA30*'Tabel Harga'!$F$30</f>
        <v>210000</v>
      </c>
      <c r="AB30" s="12">
        <f>'Tabel Input-Output'!AB30*'Tabel Harga'!$F$30</f>
        <v>210000</v>
      </c>
      <c r="AC30" s="12">
        <f>'Tabel Input-Output'!AC30*'Tabel Harga'!$F$30</f>
        <v>210000</v>
      </c>
      <c r="AD30" s="12">
        <f>'Tabel Input-Output'!AD30*'Tabel Harga'!$F$30</f>
        <v>210000</v>
      </c>
      <c r="AE30" s="12">
        <f>'Tabel Input-Output'!AE30*'Tabel Harga'!$F$30</f>
        <v>210000</v>
      </c>
      <c r="AF30" s="12">
        <f>'Tabel Input-Output'!AF30*'Tabel Harga'!$F$30</f>
        <v>210000</v>
      </c>
      <c r="AG30" s="12">
        <f>'Tabel Input-Output'!AG30*'Tabel Harga'!$F$30</f>
        <v>210000</v>
      </c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</row>
    <row r="31" spans="2:49" x14ac:dyDescent="0.3">
      <c r="B31" s="86" t="s">
        <v>109</v>
      </c>
      <c r="C31" s="19" t="s">
        <v>5</v>
      </c>
      <c r="D31" s="12">
        <f>'Tabel Input-Output'!D31*'Tabel Harga'!$F$31</f>
        <v>455000</v>
      </c>
      <c r="E31" s="12">
        <f>'Tabel Input-Output'!E31*'Tabel Harga'!$F$31</f>
        <v>0</v>
      </c>
      <c r="F31" s="12">
        <f>'Tabel Input-Output'!F31*'Tabel Harga'!$F$31</f>
        <v>0</v>
      </c>
      <c r="G31" s="12">
        <f>'Tabel Input-Output'!G31*'Tabel Harga'!$F$31</f>
        <v>0</v>
      </c>
      <c r="H31" s="12">
        <f>'Tabel Input-Output'!H31*'Tabel Harga'!$F$31</f>
        <v>0</v>
      </c>
      <c r="I31" s="12">
        <f>'Tabel Input-Output'!I31*'Tabel Harga'!$F$31</f>
        <v>0</v>
      </c>
      <c r="J31" s="12">
        <f>'Tabel Input-Output'!J31*'Tabel Harga'!$F$31</f>
        <v>0</v>
      </c>
      <c r="K31" s="12">
        <f>'Tabel Input-Output'!K31*'Tabel Harga'!$F$31</f>
        <v>0</v>
      </c>
      <c r="L31" s="12">
        <f>'Tabel Input-Output'!L31*'Tabel Harga'!$F$31</f>
        <v>0</v>
      </c>
      <c r="M31" s="12">
        <f>'Tabel Input-Output'!M31*'Tabel Harga'!$F$31</f>
        <v>0</v>
      </c>
      <c r="N31" s="12">
        <f>'Tabel Input-Output'!N31*'Tabel Harga'!$F$31</f>
        <v>0</v>
      </c>
      <c r="O31" s="12">
        <f>'Tabel Input-Output'!O31*'Tabel Harga'!$F$31</f>
        <v>0</v>
      </c>
      <c r="P31" s="12">
        <f>'Tabel Input-Output'!P31*'Tabel Harga'!$F$31</f>
        <v>0</v>
      </c>
      <c r="Q31" s="12">
        <f>'Tabel Input-Output'!Q31*'Tabel Harga'!$F$31</f>
        <v>0</v>
      </c>
      <c r="R31" s="12">
        <f>'Tabel Input-Output'!R31*'Tabel Harga'!$F$31</f>
        <v>0</v>
      </c>
      <c r="S31" s="12">
        <f>'Tabel Input-Output'!S31*'Tabel Harga'!$F$31</f>
        <v>0</v>
      </c>
      <c r="T31" s="12">
        <f>'Tabel Input-Output'!T31*'Tabel Harga'!$F$31</f>
        <v>0</v>
      </c>
      <c r="U31" s="12">
        <f>'Tabel Input-Output'!U31*'Tabel Harga'!$F$31</f>
        <v>0</v>
      </c>
      <c r="V31" s="12">
        <f>'Tabel Input-Output'!V31*'Tabel Harga'!$F$31</f>
        <v>0</v>
      </c>
      <c r="W31" s="12">
        <f>'Tabel Input-Output'!W31*'Tabel Harga'!$F$31</f>
        <v>0</v>
      </c>
      <c r="X31" s="12">
        <f>'Tabel Input-Output'!X31*'Tabel Harga'!$F$31</f>
        <v>0</v>
      </c>
      <c r="Y31" s="12">
        <f>'Tabel Input-Output'!Y31*'Tabel Harga'!$F$31</f>
        <v>0</v>
      </c>
      <c r="Z31" s="12">
        <f>'Tabel Input-Output'!Z31*'Tabel Harga'!$F$31</f>
        <v>0</v>
      </c>
      <c r="AA31" s="12">
        <f>'Tabel Input-Output'!AA31*'Tabel Harga'!$F$31</f>
        <v>0</v>
      </c>
      <c r="AB31" s="12">
        <f>'Tabel Input-Output'!AB31*'Tabel Harga'!$F$31</f>
        <v>0</v>
      </c>
      <c r="AC31" s="12">
        <f>'Tabel Input-Output'!AC31*'Tabel Harga'!$F$31</f>
        <v>0</v>
      </c>
      <c r="AD31" s="12">
        <f>'Tabel Input-Output'!AD31*'Tabel Harga'!$F$31</f>
        <v>0</v>
      </c>
      <c r="AE31" s="12">
        <f>'Tabel Input-Output'!AE31*'Tabel Harga'!$F$31</f>
        <v>0</v>
      </c>
      <c r="AF31" s="12">
        <f>'Tabel Input-Output'!AF31*'Tabel Harga'!$F$31</f>
        <v>0</v>
      </c>
      <c r="AG31" s="12">
        <f>'Tabel Input-Output'!AG31*'Tabel Harga'!$F$31</f>
        <v>0</v>
      </c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</row>
    <row r="32" spans="2:49" x14ac:dyDescent="0.3">
      <c r="B32" s="86" t="s">
        <v>82</v>
      </c>
      <c r="C32" s="19" t="s">
        <v>5</v>
      </c>
      <c r="D32" s="12">
        <f>'Tabel Input-Output'!D32*'Tabel Harga'!$F$32</f>
        <v>420000</v>
      </c>
      <c r="E32" s="12">
        <f>'Tabel Input-Output'!E32*'Tabel Harga'!$F$32</f>
        <v>420000</v>
      </c>
      <c r="F32" s="12">
        <f>'Tabel Input-Output'!F32*'Tabel Harga'!$F$32</f>
        <v>420000</v>
      </c>
      <c r="G32" s="12">
        <f>'Tabel Input-Output'!G32*'Tabel Harga'!$F$32</f>
        <v>420000</v>
      </c>
      <c r="H32" s="12">
        <f>'Tabel Input-Output'!H32*'Tabel Harga'!$F$32</f>
        <v>420000</v>
      </c>
      <c r="I32" s="12">
        <f>'Tabel Input-Output'!I32*'Tabel Harga'!$F$32</f>
        <v>420000</v>
      </c>
      <c r="J32" s="12">
        <f>'Tabel Input-Output'!J32*'Tabel Harga'!$F$32</f>
        <v>420000</v>
      </c>
      <c r="K32" s="12">
        <f>'Tabel Input-Output'!K32*'Tabel Harga'!$F$32</f>
        <v>420000</v>
      </c>
      <c r="L32" s="12">
        <f>'Tabel Input-Output'!L32*'Tabel Harga'!$F$32</f>
        <v>420000</v>
      </c>
      <c r="M32" s="12">
        <f>'Tabel Input-Output'!M32*'Tabel Harga'!$F$32</f>
        <v>420000</v>
      </c>
      <c r="N32" s="12">
        <f>'Tabel Input-Output'!N32*'Tabel Harga'!$F$32</f>
        <v>420000</v>
      </c>
      <c r="O32" s="12">
        <f>'Tabel Input-Output'!O32*'Tabel Harga'!$F$32</f>
        <v>420000</v>
      </c>
      <c r="P32" s="12">
        <f>'Tabel Input-Output'!P32*'Tabel Harga'!$F$32</f>
        <v>420000</v>
      </c>
      <c r="Q32" s="12">
        <f>'Tabel Input-Output'!Q32*'Tabel Harga'!$F$32</f>
        <v>420000</v>
      </c>
      <c r="R32" s="12">
        <f>'Tabel Input-Output'!R32*'Tabel Harga'!$F$32</f>
        <v>420000</v>
      </c>
      <c r="S32" s="12">
        <f>'Tabel Input-Output'!S32*'Tabel Harga'!$F$32</f>
        <v>420000</v>
      </c>
      <c r="T32" s="12">
        <f>'Tabel Input-Output'!T32*'Tabel Harga'!$F$32</f>
        <v>420000</v>
      </c>
      <c r="U32" s="12">
        <f>'Tabel Input-Output'!U32*'Tabel Harga'!$F$32</f>
        <v>420000</v>
      </c>
      <c r="V32" s="12">
        <f>'Tabel Input-Output'!V32*'Tabel Harga'!$F$32</f>
        <v>420000</v>
      </c>
      <c r="W32" s="12">
        <f>'Tabel Input-Output'!W32*'Tabel Harga'!$F$32</f>
        <v>420000</v>
      </c>
      <c r="X32" s="12">
        <f>'Tabel Input-Output'!X32*'Tabel Harga'!$F$32</f>
        <v>420000</v>
      </c>
      <c r="Y32" s="12">
        <f>'Tabel Input-Output'!Y32*'Tabel Harga'!$F$32</f>
        <v>420000</v>
      </c>
      <c r="Z32" s="12">
        <f>'Tabel Input-Output'!Z32*'Tabel Harga'!$F$32</f>
        <v>420000</v>
      </c>
      <c r="AA32" s="12">
        <f>'Tabel Input-Output'!AA32*'Tabel Harga'!$F$32</f>
        <v>420000</v>
      </c>
      <c r="AB32" s="12">
        <f>'Tabel Input-Output'!AB32*'Tabel Harga'!$F$32</f>
        <v>420000</v>
      </c>
      <c r="AC32" s="12">
        <f>'Tabel Input-Output'!AC32*'Tabel Harga'!$F$32</f>
        <v>420000</v>
      </c>
      <c r="AD32" s="12">
        <f>'Tabel Input-Output'!AD32*'Tabel Harga'!$F$32</f>
        <v>420000</v>
      </c>
      <c r="AE32" s="12">
        <f>'Tabel Input-Output'!AE32*'Tabel Harga'!$F$32</f>
        <v>420000</v>
      </c>
      <c r="AF32" s="12">
        <f>'Tabel Input-Output'!AF32*'Tabel Harga'!$F$32</f>
        <v>420000</v>
      </c>
      <c r="AG32" s="12">
        <f>'Tabel Input-Output'!AG32*'Tabel Harga'!$F$32</f>
        <v>420000</v>
      </c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</row>
    <row r="33" spans="2:49" x14ac:dyDescent="0.3">
      <c r="B33" s="86" t="s">
        <v>83</v>
      </c>
      <c r="C33" s="19" t="s">
        <v>5</v>
      </c>
      <c r="D33" s="12">
        <f>'Tabel Input-Output'!D33*'Tabel Harga'!$F$33</f>
        <v>210000</v>
      </c>
      <c r="E33" s="12">
        <f>'Tabel Input-Output'!E33*'Tabel Harga'!$F$33</f>
        <v>210000</v>
      </c>
      <c r="F33" s="12">
        <f>'Tabel Input-Output'!F33*'Tabel Harga'!$F$33</f>
        <v>210000</v>
      </c>
      <c r="G33" s="12">
        <f>'Tabel Input-Output'!G33*'Tabel Harga'!$F$33</f>
        <v>210000</v>
      </c>
      <c r="H33" s="12">
        <f>'Tabel Input-Output'!H33*'Tabel Harga'!$F$33</f>
        <v>210000</v>
      </c>
      <c r="I33" s="12">
        <f>'Tabel Input-Output'!I33*'Tabel Harga'!$F$33</f>
        <v>210000</v>
      </c>
      <c r="J33" s="12">
        <f>'Tabel Input-Output'!J33*'Tabel Harga'!$F$33</f>
        <v>210000</v>
      </c>
      <c r="K33" s="12">
        <f>'Tabel Input-Output'!K33*'Tabel Harga'!$F$33</f>
        <v>210000</v>
      </c>
      <c r="L33" s="12">
        <f>'Tabel Input-Output'!L33*'Tabel Harga'!$F$33</f>
        <v>210000</v>
      </c>
      <c r="M33" s="12">
        <f>'Tabel Input-Output'!M33*'Tabel Harga'!$F$33</f>
        <v>210000</v>
      </c>
      <c r="N33" s="12">
        <f>'Tabel Input-Output'!N33*'Tabel Harga'!$F$33</f>
        <v>210000</v>
      </c>
      <c r="O33" s="12">
        <f>'Tabel Input-Output'!O33*'Tabel Harga'!$F$33</f>
        <v>210000</v>
      </c>
      <c r="P33" s="12">
        <f>'Tabel Input-Output'!P33*'Tabel Harga'!$F$33</f>
        <v>210000</v>
      </c>
      <c r="Q33" s="12">
        <f>'Tabel Input-Output'!Q33*'Tabel Harga'!$F$33</f>
        <v>210000</v>
      </c>
      <c r="R33" s="12">
        <f>'Tabel Input-Output'!R33*'Tabel Harga'!$F$33</f>
        <v>210000</v>
      </c>
      <c r="S33" s="12">
        <f>'Tabel Input-Output'!S33*'Tabel Harga'!$F$33</f>
        <v>210000</v>
      </c>
      <c r="T33" s="12">
        <f>'Tabel Input-Output'!T33*'Tabel Harga'!$F$33</f>
        <v>210000</v>
      </c>
      <c r="U33" s="12">
        <f>'Tabel Input-Output'!U33*'Tabel Harga'!$F$33</f>
        <v>210000</v>
      </c>
      <c r="V33" s="12">
        <f>'Tabel Input-Output'!V33*'Tabel Harga'!$F$33</f>
        <v>210000</v>
      </c>
      <c r="W33" s="12">
        <f>'Tabel Input-Output'!W33*'Tabel Harga'!$F$33</f>
        <v>210000</v>
      </c>
      <c r="X33" s="12">
        <f>'Tabel Input-Output'!X33*'Tabel Harga'!$F$33</f>
        <v>210000</v>
      </c>
      <c r="Y33" s="12">
        <f>'Tabel Input-Output'!Y33*'Tabel Harga'!$F$33</f>
        <v>210000</v>
      </c>
      <c r="Z33" s="12">
        <f>'Tabel Input-Output'!Z33*'Tabel Harga'!$F$33</f>
        <v>210000</v>
      </c>
      <c r="AA33" s="12">
        <f>'Tabel Input-Output'!AA33*'Tabel Harga'!$F$33</f>
        <v>210000</v>
      </c>
      <c r="AB33" s="12">
        <f>'Tabel Input-Output'!AB33*'Tabel Harga'!$F$33</f>
        <v>210000</v>
      </c>
      <c r="AC33" s="12">
        <f>'Tabel Input-Output'!AC33*'Tabel Harga'!$F$33</f>
        <v>210000</v>
      </c>
      <c r="AD33" s="12">
        <f>'Tabel Input-Output'!AD33*'Tabel Harga'!$F$33</f>
        <v>210000</v>
      </c>
      <c r="AE33" s="12">
        <f>'Tabel Input-Output'!AE33*'Tabel Harga'!$F$33</f>
        <v>210000</v>
      </c>
      <c r="AF33" s="12">
        <f>'Tabel Input-Output'!AF33*'Tabel Harga'!$F$33</f>
        <v>210000</v>
      </c>
      <c r="AG33" s="12">
        <f>'Tabel Input-Output'!AG33*'Tabel Harga'!$F$33</f>
        <v>210000</v>
      </c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</row>
    <row r="34" spans="2:49" x14ac:dyDescent="0.3">
      <c r="B34" s="86" t="s">
        <v>104</v>
      </c>
      <c r="C34" s="19" t="s">
        <v>5</v>
      </c>
      <c r="D34" s="12">
        <f>'Tabel Input-Output'!D34*'Tabel Harga'!$F$34</f>
        <v>0</v>
      </c>
      <c r="E34" s="12">
        <f>'Tabel Input-Output'!E34*'Tabel Harga'!$F$34</f>
        <v>0</v>
      </c>
      <c r="F34" s="12">
        <f>'Tabel Input-Output'!F34*'Tabel Harga'!$F$34</f>
        <v>0</v>
      </c>
      <c r="G34" s="12">
        <f>'Tabel Input-Output'!G34*'Tabel Harga'!$F$34</f>
        <v>0</v>
      </c>
      <c r="H34" s="12">
        <f>'Tabel Input-Output'!H34*'Tabel Harga'!$F$34</f>
        <v>0</v>
      </c>
      <c r="I34" s="12">
        <f>'Tabel Input-Output'!I34*'Tabel Harga'!$F$34</f>
        <v>2041666.6666666667</v>
      </c>
      <c r="J34" s="12">
        <f>'Tabel Input-Output'!J34*'Tabel Harga'!$F$34</f>
        <v>2041666.6666666667</v>
      </c>
      <c r="K34" s="12">
        <f>'Tabel Input-Output'!K34*'Tabel Harga'!$F$34</f>
        <v>2041666.6666666667</v>
      </c>
      <c r="L34" s="12">
        <f>'Tabel Input-Output'!L34*'Tabel Harga'!$F$34</f>
        <v>4375000</v>
      </c>
      <c r="M34" s="12">
        <f>'Tabel Input-Output'!M34*'Tabel Harga'!$F$34</f>
        <v>4375000</v>
      </c>
      <c r="N34" s="12">
        <f>'Tabel Input-Output'!N34*'Tabel Harga'!$F$34</f>
        <v>5833333.333333333</v>
      </c>
      <c r="O34" s="12">
        <f>'Tabel Input-Output'!O34*'Tabel Harga'!$F$34</f>
        <v>5833333.333333333</v>
      </c>
      <c r="P34" s="12">
        <f>'Tabel Input-Output'!P34*'Tabel Harga'!$F$34</f>
        <v>5833333.333333333</v>
      </c>
      <c r="Q34" s="12">
        <f>'Tabel Input-Output'!Q34*'Tabel Harga'!$F$34</f>
        <v>5833333.333333333</v>
      </c>
      <c r="R34" s="12">
        <f>'Tabel Input-Output'!R34*'Tabel Harga'!$F$34</f>
        <v>5833333.333333333</v>
      </c>
      <c r="S34" s="12">
        <f>'Tabel Input-Output'!S34*'Tabel Harga'!$F$34</f>
        <v>5833333.333333333</v>
      </c>
      <c r="T34" s="12">
        <f>'Tabel Input-Output'!T34*'Tabel Harga'!$F$34</f>
        <v>5833333.333333333</v>
      </c>
      <c r="U34" s="12">
        <f>'Tabel Input-Output'!U34*'Tabel Harga'!$F$34</f>
        <v>5833333.333333333</v>
      </c>
      <c r="V34" s="12">
        <f>'Tabel Input-Output'!V34*'Tabel Harga'!$F$34</f>
        <v>5833333.333333333</v>
      </c>
      <c r="W34" s="12">
        <f>'Tabel Input-Output'!W34*'Tabel Harga'!$F$34</f>
        <v>5833333.333333333</v>
      </c>
      <c r="X34" s="12">
        <f>'Tabel Input-Output'!X34*'Tabel Harga'!$F$34</f>
        <v>2916666.6666666665</v>
      </c>
      <c r="Y34" s="12">
        <f>'Tabel Input-Output'!Y34*'Tabel Harga'!$F$34</f>
        <v>2916666.6666666665</v>
      </c>
      <c r="Z34" s="12">
        <f>'Tabel Input-Output'!Z34*'Tabel Harga'!$F$34</f>
        <v>2916666.6666666665</v>
      </c>
      <c r="AA34" s="12">
        <f>'Tabel Input-Output'!AA34*'Tabel Harga'!$F$34</f>
        <v>2916666.6666666665</v>
      </c>
      <c r="AB34" s="12">
        <f>'Tabel Input-Output'!AB34*'Tabel Harga'!$F$34</f>
        <v>2916666.6666666665</v>
      </c>
      <c r="AC34" s="12">
        <f>'Tabel Input-Output'!AC34*'Tabel Harga'!$F$34</f>
        <v>2916666.6666666665</v>
      </c>
      <c r="AD34" s="12">
        <f>'Tabel Input-Output'!AD34*'Tabel Harga'!$F$34</f>
        <v>2916666.6666666665</v>
      </c>
      <c r="AE34" s="12">
        <f>'Tabel Input-Output'!AE34*'Tabel Harga'!$F$34</f>
        <v>2916666.6666666665</v>
      </c>
      <c r="AF34" s="12">
        <f>'Tabel Input-Output'!AF34*'Tabel Harga'!$F$34</f>
        <v>2916666.6666666665</v>
      </c>
      <c r="AG34" s="12">
        <f>'Tabel Input-Output'!AG34*'Tabel Harga'!$F$34</f>
        <v>2916666.6666666665</v>
      </c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</row>
    <row r="35" spans="2:49" x14ac:dyDescent="0.3">
      <c r="B35" s="86" t="s">
        <v>107</v>
      </c>
      <c r="C35" s="19" t="s">
        <v>5</v>
      </c>
      <c r="D35" s="12">
        <f>'Tabel Input-Output'!D35*'Tabel Harga'!$F$35</f>
        <v>0</v>
      </c>
      <c r="E35" s="12">
        <f>'Tabel Input-Output'!E35*'Tabel Harga'!$F$35</f>
        <v>0</v>
      </c>
      <c r="F35" s="12">
        <f>'Tabel Input-Output'!F35*'Tabel Harga'!$F$35</f>
        <v>0</v>
      </c>
      <c r="G35" s="12">
        <f>'Tabel Input-Output'!G35*'Tabel Harga'!$F$35</f>
        <v>0</v>
      </c>
      <c r="H35" s="12">
        <f>'Tabel Input-Output'!H35*'Tabel Harga'!$F$35</f>
        <v>0</v>
      </c>
      <c r="I35" s="12">
        <f>'Tabel Input-Output'!I35*'Tabel Harga'!$F$35</f>
        <v>61250</v>
      </c>
      <c r="J35" s="12">
        <f>'Tabel Input-Output'!J35*'Tabel Harga'!$F$35</f>
        <v>61250</v>
      </c>
      <c r="K35" s="12">
        <f>'Tabel Input-Output'!K35*'Tabel Harga'!$F$35</f>
        <v>61250</v>
      </c>
      <c r="L35" s="12">
        <f>'Tabel Input-Output'!L35*'Tabel Harga'!$F$35</f>
        <v>131250</v>
      </c>
      <c r="M35" s="12">
        <f>'Tabel Input-Output'!M35*'Tabel Harga'!$F$35</f>
        <v>131250</v>
      </c>
      <c r="N35" s="12">
        <f>'Tabel Input-Output'!N35*'Tabel Harga'!$F$35</f>
        <v>175000</v>
      </c>
      <c r="O35" s="12">
        <f>'Tabel Input-Output'!O35*'Tabel Harga'!$F$35</f>
        <v>175000</v>
      </c>
      <c r="P35" s="12">
        <f>'Tabel Input-Output'!P35*'Tabel Harga'!$F$35</f>
        <v>175000</v>
      </c>
      <c r="Q35" s="12">
        <f>'Tabel Input-Output'!Q35*'Tabel Harga'!$F$35</f>
        <v>175000</v>
      </c>
      <c r="R35" s="12">
        <f>'Tabel Input-Output'!R35*'Tabel Harga'!$F$35</f>
        <v>175000</v>
      </c>
      <c r="S35" s="12">
        <f>'Tabel Input-Output'!S35*'Tabel Harga'!$F$35</f>
        <v>175000</v>
      </c>
      <c r="T35" s="12">
        <f>'Tabel Input-Output'!T35*'Tabel Harga'!$F$35</f>
        <v>175000</v>
      </c>
      <c r="U35" s="12">
        <f>'Tabel Input-Output'!U35*'Tabel Harga'!$F$35</f>
        <v>175000</v>
      </c>
      <c r="V35" s="12">
        <f>'Tabel Input-Output'!V35*'Tabel Harga'!$F$35</f>
        <v>175000</v>
      </c>
      <c r="W35" s="12">
        <f>'Tabel Input-Output'!W35*'Tabel Harga'!$F$35</f>
        <v>175000</v>
      </c>
      <c r="X35" s="12">
        <f>'Tabel Input-Output'!X35*'Tabel Harga'!$F$35</f>
        <v>87500</v>
      </c>
      <c r="Y35" s="12">
        <f>'Tabel Input-Output'!Y35*'Tabel Harga'!$F$35</f>
        <v>87500</v>
      </c>
      <c r="Z35" s="12">
        <f>'Tabel Input-Output'!Z35*'Tabel Harga'!$F$35</f>
        <v>87500</v>
      </c>
      <c r="AA35" s="12">
        <f>'Tabel Input-Output'!AA35*'Tabel Harga'!$F$35</f>
        <v>87500</v>
      </c>
      <c r="AB35" s="12">
        <f>'Tabel Input-Output'!AB35*'Tabel Harga'!$F$35</f>
        <v>87500</v>
      </c>
      <c r="AC35" s="12">
        <f>'Tabel Input-Output'!AC35*'Tabel Harga'!$F$35</f>
        <v>87500</v>
      </c>
      <c r="AD35" s="12">
        <f>'Tabel Input-Output'!AD35*'Tabel Harga'!$F$35</f>
        <v>87500</v>
      </c>
      <c r="AE35" s="12">
        <f>'Tabel Input-Output'!AE35*'Tabel Harga'!$F$35</f>
        <v>87500</v>
      </c>
      <c r="AF35" s="12">
        <f>'Tabel Input-Output'!AF35*'Tabel Harga'!$F$35</f>
        <v>87500</v>
      </c>
      <c r="AG35" s="12">
        <f>'Tabel Input-Output'!AG35*'Tabel Harga'!$F$35</f>
        <v>87500</v>
      </c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</row>
    <row r="36" spans="2:49" x14ac:dyDescent="0.3">
      <c r="B36" s="17"/>
      <c r="C36" s="19"/>
      <c r="D36" s="12"/>
      <c r="E36" s="10"/>
      <c r="F36" s="10"/>
      <c r="G36" s="12"/>
      <c r="H36" s="12"/>
      <c r="I36" s="12"/>
      <c r="J36" s="12"/>
      <c r="K36" s="13"/>
      <c r="L36" s="12"/>
      <c r="M36" s="12"/>
      <c r="N36" s="13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</row>
    <row r="37" spans="2:49" x14ac:dyDescent="0.3">
      <c r="B37" s="16" t="s">
        <v>24</v>
      </c>
      <c r="C37" s="19" t="s">
        <v>5</v>
      </c>
      <c r="D37" s="10">
        <f t="shared" ref="D37:AG37" si="0">SUM(D8:D35)</f>
        <v>4445000</v>
      </c>
      <c r="E37" s="10">
        <f t="shared" si="0"/>
        <v>1100000</v>
      </c>
      <c r="F37" s="10">
        <f t="shared" si="0"/>
        <v>1270000</v>
      </c>
      <c r="G37" s="10">
        <f t="shared" si="0"/>
        <v>1270000</v>
      </c>
      <c r="H37" s="10">
        <f t="shared" si="0"/>
        <v>1310000</v>
      </c>
      <c r="I37" s="10">
        <f t="shared" si="0"/>
        <v>3382916.666666667</v>
      </c>
      <c r="J37" s="10">
        <f t="shared" si="0"/>
        <v>3552916.666666667</v>
      </c>
      <c r="K37" s="10">
        <f t="shared" si="0"/>
        <v>3382916.666666667</v>
      </c>
      <c r="L37" s="10">
        <f t="shared" si="0"/>
        <v>6246250</v>
      </c>
      <c r="M37" s="10">
        <f t="shared" si="0"/>
        <v>6246250</v>
      </c>
      <c r="N37" s="10">
        <f t="shared" si="0"/>
        <v>7718333.333333333</v>
      </c>
      <c r="O37" s="10">
        <f t="shared" si="0"/>
        <v>7548333.333333333</v>
      </c>
      <c r="P37" s="10">
        <f t="shared" si="0"/>
        <v>7718333.333333333</v>
      </c>
      <c r="Q37" s="10">
        <f t="shared" si="0"/>
        <v>7678333.333333333</v>
      </c>
      <c r="R37" s="10">
        <f t="shared" si="0"/>
        <v>7718333.333333333</v>
      </c>
      <c r="S37" s="10">
        <f t="shared" si="0"/>
        <v>7548333.333333333</v>
      </c>
      <c r="T37" s="10">
        <f t="shared" si="0"/>
        <v>7718333.333333333</v>
      </c>
      <c r="U37" s="10">
        <f t="shared" si="0"/>
        <v>7548333.333333333</v>
      </c>
      <c r="V37" s="10">
        <f t="shared" si="0"/>
        <v>7848333.333333333</v>
      </c>
      <c r="W37" s="10">
        <f t="shared" si="0"/>
        <v>7848333.333333333</v>
      </c>
      <c r="X37" s="10">
        <f t="shared" si="0"/>
        <v>4514166.666666666</v>
      </c>
      <c r="Y37" s="10">
        <f t="shared" si="0"/>
        <v>4344166.666666666</v>
      </c>
      <c r="Z37" s="10">
        <f t="shared" si="0"/>
        <v>4514166.666666666</v>
      </c>
      <c r="AA37" s="10">
        <f t="shared" si="0"/>
        <v>4474166.666666666</v>
      </c>
      <c r="AB37" s="10">
        <f t="shared" si="0"/>
        <v>4514166.666666666</v>
      </c>
      <c r="AC37" s="10">
        <f t="shared" si="0"/>
        <v>4344166.666666666</v>
      </c>
      <c r="AD37" s="10">
        <f t="shared" si="0"/>
        <v>4514166.666666666</v>
      </c>
      <c r="AE37" s="10">
        <f t="shared" si="0"/>
        <v>4344166.666666666</v>
      </c>
      <c r="AF37" s="10">
        <f t="shared" si="0"/>
        <v>4644166.666666666</v>
      </c>
      <c r="AG37" s="10">
        <f t="shared" si="0"/>
        <v>4644166.666666666</v>
      </c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</row>
    <row r="38" spans="2:49" x14ac:dyDescent="0.3">
      <c r="B38" s="18"/>
      <c r="C38" s="19"/>
      <c r="D38" s="12"/>
      <c r="E38" s="12"/>
      <c r="F38" s="12"/>
      <c r="G38" s="12"/>
      <c r="H38" s="12"/>
      <c r="I38" s="12"/>
      <c r="J38" s="12"/>
      <c r="K38" s="13"/>
      <c r="L38" s="12"/>
      <c r="M38" s="12"/>
      <c r="N38" s="13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</row>
    <row r="39" spans="2:49" x14ac:dyDescent="0.3">
      <c r="B39" s="31" t="s">
        <v>27</v>
      </c>
      <c r="C39" s="32"/>
      <c r="D39" s="33"/>
      <c r="E39" s="33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</row>
    <row r="40" spans="2:49" x14ac:dyDescent="0.3">
      <c r="B40" s="18" t="s">
        <v>87</v>
      </c>
      <c r="C40" s="19"/>
      <c r="D40" s="12">
        <f>'Tabel Harga'!$F$40*'Tabel Input-Output'!D40</f>
        <v>0</v>
      </c>
      <c r="E40" s="12">
        <f>'Tabel Harga'!$F$40*'Tabel Input-Output'!E40</f>
        <v>0</v>
      </c>
      <c r="F40" s="12">
        <f>'Tabel Harga'!$F$40*'Tabel Input-Output'!F40</f>
        <v>0</v>
      </c>
      <c r="G40" s="12">
        <f>'Tabel Harga'!$F$40*'Tabel Input-Output'!G40</f>
        <v>0</v>
      </c>
      <c r="H40" s="12">
        <f>'Tabel Harga'!$F$40*'Tabel Input-Output'!H40</f>
        <v>0</v>
      </c>
      <c r="I40" s="12">
        <f>'Tabel Harga'!$F$40*'Tabel Input-Output'!I40</f>
        <v>4200000</v>
      </c>
      <c r="J40" s="12">
        <f>'Tabel Harga'!$F$40*'Tabel Input-Output'!J40</f>
        <v>4200000</v>
      </c>
      <c r="K40" s="12">
        <f>'Tabel Harga'!$F$40*'Tabel Input-Output'!K40</f>
        <v>4200000</v>
      </c>
      <c r="L40" s="12">
        <f>'Tabel Harga'!$F$40*'Tabel Input-Output'!L40</f>
        <v>9000000</v>
      </c>
      <c r="M40" s="12">
        <f>'Tabel Harga'!$F$40*'Tabel Input-Output'!M40</f>
        <v>9000000</v>
      </c>
      <c r="N40" s="12">
        <f>'Tabel Harga'!$F$40*'Tabel Input-Output'!N40</f>
        <v>12000000</v>
      </c>
      <c r="O40" s="12">
        <f>'Tabel Harga'!$F$40*'Tabel Input-Output'!O40</f>
        <v>12000000</v>
      </c>
      <c r="P40" s="12">
        <f>'Tabel Harga'!$F$40*'Tabel Input-Output'!P40</f>
        <v>12000000</v>
      </c>
      <c r="Q40" s="12">
        <f>'Tabel Harga'!$F$40*'Tabel Input-Output'!Q40</f>
        <v>12000000</v>
      </c>
      <c r="R40" s="12">
        <f>'Tabel Harga'!$F$40*'Tabel Input-Output'!R40</f>
        <v>12000000</v>
      </c>
      <c r="S40" s="12">
        <f>'Tabel Harga'!$F$40*'Tabel Input-Output'!S40</f>
        <v>12000000</v>
      </c>
      <c r="T40" s="12">
        <f>'Tabel Harga'!$F$40*'Tabel Input-Output'!T40</f>
        <v>12000000</v>
      </c>
      <c r="U40" s="12">
        <f>'Tabel Harga'!$F$40*'Tabel Input-Output'!U40</f>
        <v>12000000</v>
      </c>
      <c r="V40" s="12">
        <f>'Tabel Harga'!$F$40*'Tabel Input-Output'!V40</f>
        <v>12000000</v>
      </c>
      <c r="W40" s="12">
        <f>'Tabel Harga'!$F$40*'Tabel Input-Output'!W40</f>
        <v>12000000</v>
      </c>
      <c r="X40" s="12">
        <f>'Tabel Harga'!$F$40*'Tabel Input-Output'!X40</f>
        <v>6000000</v>
      </c>
      <c r="Y40" s="12">
        <f>'Tabel Harga'!$F$40*'Tabel Input-Output'!Y40</f>
        <v>6000000</v>
      </c>
      <c r="Z40" s="12">
        <f>'Tabel Harga'!$F$40*'Tabel Input-Output'!Z40</f>
        <v>6000000</v>
      </c>
      <c r="AA40" s="12">
        <f>'Tabel Harga'!$F$40*'Tabel Input-Output'!AA40</f>
        <v>6000000</v>
      </c>
      <c r="AB40" s="12">
        <f>'Tabel Harga'!$F$40*'Tabel Input-Output'!AB40</f>
        <v>6000000</v>
      </c>
      <c r="AC40" s="12">
        <f>'Tabel Harga'!$F$40*'Tabel Input-Output'!AC40</f>
        <v>6000000</v>
      </c>
      <c r="AD40" s="12">
        <f>'Tabel Harga'!$F$40*'Tabel Input-Output'!AD40</f>
        <v>6000000</v>
      </c>
      <c r="AE40" s="12">
        <f>'Tabel Harga'!$F$40*'Tabel Input-Output'!AE40</f>
        <v>6000000</v>
      </c>
      <c r="AF40" s="12">
        <f>'Tabel Harga'!$F$40*'Tabel Input-Output'!AF40</f>
        <v>6000000</v>
      </c>
      <c r="AG40" s="12">
        <f>'Tabel Harga'!$F$40*'Tabel Input-Output'!AG40</f>
        <v>6000000</v>
      </c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</row>
    <row r="41" spans="2:49" x14ac:dyDescent="0.3">
      <c r="B41" s="18"/>
      <c r="C41" s="19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</row>
    <row r="42" spans="2:49" x14ac:dyDescent="0.3">
      <c r="B42" s="16" t="s">
        <v>111</v>
      </c>
      <c r="C42" s="19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</row>
    <row r="43" spans="2:49" x14ac:dyDescent="0.3">
      <c r="B43" s="35" t="s">
        <v>90</v>
      </c>
      <c r="C43" s="19" t="s">
        <v>5</v>
      </c>
      <c r="D43" s="12">
        <f>'Tabel Input-Output'!D43*'Tabel Harga'!$F$43</f>
        <v>0</v>
      </c>
      <c r="E43" s="12">
        <f>'Tabel Input-Output'!E43*'Tabel Harga'!$F$43</f>
        <v>0</v>
      </c>
      <c r="F43" s="12">
        <f>'Tabel Input-Output'!F43*'Tabel Harga'!$F$43</f>
        <v>0</v>
      </c>
      <c r="G43" s="12">
        <f>'Tabel Input-Output'!G43*'Tabel Harga'!$F$43</f>
        <v>0</v>
      </c>
      <c r="H43" s="12">
        <f>'Tabel Input-Output'!H43*'Tabel Harga'!$F$43</f>
        <v>0</v>
      </c>
      <c r="I43" s="12">
        <f>'Tabel Input-Output'!I43*'Tabel Harga'!$F$43</f>
        <v>3150000</v>
      </c>
      <c r="J43" s="12">
        <f>'Tabel Input-Output'!J43*'Tabel Harga'!$F$43</f>
        <v>3150000</v>
      </c>
      <c r="K43" s="12">
        <f>'Tabel Input-Output'!K43*'Tabel Harga'!$F$43</f>
        <v>3150000</v>
      </c>
      <c r="L43" s="12">
        <f>'Tabel Input-Output'!L43*'Tabel Harga'!$F$43</f>
        <v>6750000</v>
      </c>
      <c r="M43" s="12">
        <f>'Tabel Input-Output'!M43*'Tabel Harga'!$F$43</f>
        <v>6750000</v>
      </c>
      <c r="N43" s="12">
        <f>'Tabel Input-Output'!N43*'Tabel Harga'!$F$43</f>
        <v>9000000</v>
      </c>
      <c r="O43" s="12">
        <f>'Tabel Input-Output'!O43*'Tabel Harga'!$F$43</f>
        <v>9000000</v>
      </c>
      <c r="P43" s="12">
        <f>'Tabel Input-Output'!P43*'Tabel Harga'!$F$43</f>
        <v>9000000</v>
      </c>
      <c r="Q43" s="12">
        <f>'Tabel Input-Output'!Q43*'Tabel Harga'!$F$43</f>
        <v>9000000</v>
      </c>
      <c r="R43" s="12">
        <f>'Tabel Input-Output'!R43*'Tabel Harga'!$F$43</f>
        <v>9000000</v>
      </c>
      <c r="S43" s="12">
        <f>'Tabel Input-Output'!S43*'Tabel Harga'!$F$43</f>
        <v>9000000</v>
      </c>
      <c r="T43" s="12">
        <f>'Tabel Input-Output'!T43*'Tabel Harga'!$F$43</f>
        <v>9000000</v>
      </c>
      <c r="U43" s="12">
        <f>'Tabel Input-Output'!U43*'Tabel Harga'!$F$43</f>
        <v>9000000</v>
      </c>
      <c r="V43" s="12">
        <f>'Tabel Input-Output'!V43*'Tabel Harga'!$F$43</f>
        <v>9000000</v>
      </c>
      <c r="W43" s="12">
        <f>'Tabel Input-Output'!W43*'Tabel Harga'!$F$43</f>
        <v>9000000</v>
      </c>
      <c r="X43" s="12">
        <f>'Tabel Input-Output'!X43*'Tabel Harga'!$F$43</f>
        <v>4500000</v>
      </c>
      <c r="Y43" s="12">
        <f>'Tabel Input-Output'!Y43*'Tabel Harga'!$F$43</f>
        <v>4500000</v>
      </c>
      <c r="Z43" s="12">
        <f>'Tabel Input-Output'!Z43*'Tabel Harga'!$F$43</f>
        <v>4500000</v>
      </c>
      <c r="AA43" s="12">
        <f>'Tabel Input-Output'!AA43*'Tabel Harga'!$F$43</f>
        <v>4500000</v>
      </c>
      <c r="AB43" s="12">
        <f>'Tabel Input-Output'!AB43*'Tabel Harga'!$F$43</f>
        <v>4500000</v>
      </c>
      <c r="AC43" s="12">
        <f>'Tabel Input-Output'!AC43*'Tabel Harga'!$F$43</f>
        <v>4500000</v>
      </c>
      <c r="AD43" s="12">
        <f>'Tabel Input-Output'!AD43*'Tabel Harga'!$F$43</f>
        <v>4500000</v>
      </c>
      <c r="AE43" s="12">
        <f>'Tabel Input-Output'!AE43*'Tabel Harga'!$F$43</f>
        <v>4500000</v>
      </c>
      <c r="AF43" s="12">
        <f>'Tabel Input-Output'!AF43*'Tabel Harga'!$F$43</f>
        <v>4500000</v>
      </c>
      <c r="AG43" s="12">
        <f>'Tabel Input-Output'!AG43*'Tabel Harga'!$F$43</f>
        <v>4500000</v>
      </c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</row>
    <row r="44" spans="2:49" x14ac:dyDescent="0.3">
      <c r="B44" s="18"/>
      <c r="C44" s="19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</row>
    <row r="45" spans="2:49" x14ac:dyDescent="0.3">
      <c r="B45" s="18" t="s">
        <v>25</v>
      </c>
      <c r="C45" s="19" t="s">
        <v>5</v>
      </c>
      <c r="D45" s="14">
        <f t="shared" ref="D45:AG45" si="1">SUM(D40:D43)</f>
        <v>0</v>
      </c>
      <c r="E45" s="14">
        <f t="shared" si="1"/>
        <v>0</v>
      </c>
      <c r="F45" s="14">
        <f t="shared" si="1"/>
        <v>0</v>
      </c>
      <c r="G45" s="14">
        <f t="shared" si="1"/>
        <v>0</v>
      </c>
      <c r="H45" s="14">
        <f t="shared" si="1"/>
        <v>0</v>
      </c>
      <c r="I45" s="14">
        <f t="shared" si="1"/>
        <v>7350000</v>
      </c>
      <c r="J45" s="14">
        <f t="shared" si="1"/>
        <v>7350000</v>
      </c>
      <c r="K45" s="14">
        <f t="shared" si="1"/>
        <v>7350000</v>
      </c>
      <c r="L45" s="14">
        <f t="shared" si="1"/>
        <v>15750000</v>
      </c>
      <c r="M45" s="14">
        <f t="shared" si="1"/>
        <v>15750000</v>
      </c>
      <c r="N45" s="14">
        <f t="shared" si="1"/>
        <v>21000000</v>
      </c>
      <c r="O45" s="14">
        <f t="shared" si="1"/>
        <v>21000000</v>
      </c>
      <c r="P45" s="14">
        <f t="shared" si="1"/>
        <v>21000000</v>
      </c>
      <c r="Q45" s="14">
        <f t="shared" si="1"/>
        <v>21000000</v>
      </c>
      <c r="R45" s="14">
        <f t="shared" si="1"/>
        <v>21000000</v>
      </c>
      <c r="S45" s="14">
        <f t="shared" si="1"/>
        <v>21000000</v>
      </c>
      <c r="T45" s="14">
        <f t="shared" si="1"/>
        <v>21000000</v>
      </c>
      <c r="U45" s="14">
        <f t="shared" si="1"/>
        <v>21000000</v>
      </c>
      <c r="V45" s="14">
        <f t="shared" si="1"/>
        <v>21000000</v>
      </c>
      <c r="W45" s="14">
        <f t="shared" si="1"/>
        <v>21000000</v>
      </c>
      <c r="X45" s="14">
        <f t="shared" si="1"/>
        <v>10500000</v>
      </c>
      <c r="Y45" s="14">
        <f t="shared" si="1"/>
        <v>10500000</v>
      </c>
      <c r="Z45" s="14">
        <f t="shared" si="1"/>
        <v>10500000</v>
      </c>
      <c r="AA45" s="14">
        <f t="shared" si="1"/>
        <v>10500000</v>
      </c>
      <c r="AB45" s="14">
        <f t="shared" si="1"/>
        <v>10500000</v>
      </c>
      <c r="AC45" s="14">
        <f t="shared" si="1"/>
        <v>10500000</v>
      </c>
      <c r="AD45" s="14">
        <f t="shared" si="1"/>
        <v>10500000</v>
      </c>
      <c r="AE45" s="14">
        <f t="shared" si="1"/>
        <v>10500000</v>
      </c>
      <c r="AF45" s="14">
        <f t="shared" si="1"/>
        <v>10500000</v>
      </c>
      <c r="AG45" s="14">
        <f t="shared" si="1"/>
        <v>10500000</v>
      </c>
      <c r="AH45" s="15"/>
      <c r="AI45" s="5"/>
      <c r="AJ45" s="5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</row>
    <row r="46" spans="2:49" s="21" customFormat="1" x14ac:dyDescent="0.25">
      <c r="B46" s="22" t="s">
        <v>23</v>
      </c>
      <c r="C46" s="23"/>
      <c r="D46" s="24">
        <f t="shared" ref="D46:AG46" si="2">D45-D37</f>
        <v>-4445000</v>
      </c>
      <c r="E46" s="24">
        <f t="shared" si="2"/>
        <v>-1100000</v>
      </c>
      <c r="F46" s="24">
        <f t="shared" si="2"/>
        <v>-1270000</v>
      </c>
      <c r="G46" s="24">
        <f t="shared" si="2"/>
        <v>-1270000</v>
      </c>
      <c r="H46" s="24">
        <f t="shared" si="2"/>
        <v>-1310000</v>
      </c>
      <c r="I46" s="24">
        <f t="shared" si="2"/>
        <v>3967083.333333333</v>
      </c>
      <c r="J46" s="24">
        <f t="shared" si="2"/>
        <v>3797083.333333333</v>
      </c>
      <c r="K46" s="24">
        <f t="shared" si="2"/>
        <v>3967083.333333333</v>
      </c>
      <c r="L46" s="24">
        <f t="shared" si="2"/>
        <v>9503750</v>
      </c>
      <c r="M46" s="24">
        <f t="shared" si="2"/>
        <v>9503750</v>
      </c>
      <c r="N46" s="24">
        <f t="shared" si="2"/>
        <v>13281666.666666668</v>
      </c>
      <c r="O46" s="24">
        <f t="shared" si="2"/>
        <v>13451666.666666668</v>
      </c>
      <c r="P46" s="24">
        <f t="shared" si="2"/>
        <v>13281666.666666668</v>
      </c>
      <c r="Q46" s="24">
        <f t="shared" si="2"/>
        <v>13321666.666666668</v>
      </c>
      <c r="R46" s="24">
        <f t="shared" si="2"/>
        <v>13281666.666666668</v>
      </c>
      <c r="S46" s="24">
        <f t="shared" si="2"/>
        <v>13451666.666666668</v>
      </c>
      <c r="T46" s="24">
        <f t="shared" si="2"/>
        <v>13281666.666666668</v>
      </c>
      <c r="U46" s="24">
        <f t="shared" si="2"/>
        <v>13451666.666666668</v>
      </c>
      <c r="V46" s="24">
        <f t="shared" si="2"/>
        <v>13151666.666666668</v>
      </c>
      <c r="W46" s="24">
        <f t="shared" si="2"/>
        <v>13151666.666666668</v>
      </c>
      <c r="X46" s="24">
        <f t="shared" si="2"/>
        <v>5985833.333333334</v>
      </c>
      <c r="Y46" s="24">
        <f t="shared" si="2"/>
        <v>6155833.333333334</v>
      </c>
      <c r="Z46" s="24">
        <f t="shared" si="2"/>
        <v>5985833.333333334</v>
      </c>
      <c r="AA46" s="24">
        <f t="shared" si="2"/>
        <v>6025833.333333334</v>
      </c>
      <c r="AB46" s="24">
        <f t="shared" si="2"/>
        <v>5985833.333333334</v>
      </c>
      <c r="AC46" s="24">
        <f t="shared" si="2"/>
        <v>6155833.333333334</v>
      </c>
      <c r="AD46" s="24">
        <f t="shared" si="2"/>
        <v>5985833.333333334</v>
      </c>
      <c r="AE46" s="24">
        <f t="shared" si="2"/>
        <v>6155833.333333334</v>
      </c>
      <c r="AF46" s="24">
        <f t="shared" si="2"/>
        <v>5855833.333333334</v>
      </c>
      <c r="AG46" s="24">
        <f t="shared" si="2"/>
        <v>5855833.333333334</v>
      </c>
      <c r="AH46" s="25"/>
      <c r="AI46" s="25"/>
      <c r="AJ46" s="25"/>
      <c r="AK46" s="26"/>
      <c r="AL46" s="26"/>
      <c r="AM46" s="26"/>
      <c r="AN46" s="26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2:49" x14ac:dyDescent="0.3">
      <c r="C47" s="3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</row>
    <row r="48" spans="2:49" x14ac:dyDescent="0.3">
      <c r="B48" s="3" t="s">
        <v>28</v>
      </c>
      <c r="C48" s="5">
        <f>NPV(Summary!$D$8,D46:AG46)</f>
        <v>148917219.4890084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</row>
    <row r="49" spans="3:3" x14ac:dyDescent="0.3">
      <c r="C49" s="56">
        <f>C48/Summary!D9</f>
        <v>10869.870035694044</v>
      </c>
    </row>
  </sheetData>
  <mergeCells count="32">
    <mergeCell ref="B4:B5"/>
    <mergeCell ref="C4:C5"/>
    <mergeCell ref="D4:D5"/>
    <mergeCell ref="E4:E5"/>
    <mergeCell ref="F4:F5"/>
    <mergeCell ref="S4:S5"/>
    <mergeCell ref="T4:T5"/>
    <mergeCell ref="Q4:Q5"/>
    <mergeCell ref="R4:R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P4:P5"/>
    <mergeCell ref="AD4:AD5"/>
    <mergeCell ref="AE4:AE5"/>
    <mergeCell ref="AF4:AF5"/>
    <mergeCell ref="AG4:AG5"/>
    <mergeCell ref="U4:U5"/>
    <mergeCell ref="V4:V5"/>
    <mergeCell ref="AC4:AC5"/>
    <mergeCell ref="W4:W5"/>
    <mergeCell ref="X4:X5"/>
    <mergeCell ref="Y4:Y5"/>
    <mergeCell ref="AA4:AA5"/>
    <mergeCell ref="AB4:AB5"/>
    <mergeCell ref="Z4:Z5"/>
  </mergeCells>
  <phoneticPr fontId="4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4"/>
  <sheetViews>
    <sheetView topLeftCell="A19" zoomScale="85" zoomScaleNormal="85" workbookViewId="0">
      <pane xSplit="18708" topLeftCell="AE1"/>
      <selection activeCell="L30" sqref="L30"/>
      <selection pane="topRight" activeCell="AE1" sqref="AE1"/>
    </sheetView>
  </sheetViews>
  <sheetFormatPr defaultRowHeight="13.2" x14ac:dyDescent="0.25"/>
  <cols>
    <col min="1" max="1" width="11.6640625" style="58" customWidth="1"/>
    <col min="2" max="2" width="18" customWidth="1"/>
    <col min="3" max="3" width="5.5546875" bestFit="1" customWidth="1"/>
    <col min="4" max="4" width="4.6640625" customWidth="1"/>
    <col min="5" max="5" width="7.5546875" bestFit="1" customWidth="1"/>
    <col min="6" max="6" width="5.109375" bestFit="1" customWidth="1"/>
    <col min="7" max="7" width="5.6640625" customWidth="1"/>
    <col min="8" max="11" width="6.88671875" bestFit="1" customWidth="1"/>
    <col min="12" max="24" width="9" customWidth="1"/>
    <col min="25" max="25" width="7.88671875" customWidth="1"/>
    <col min="26" max="26" width="8.77734375" bestFit="1" customWidth="1"/>
    <col min="27" max="27" width="8.88671875" bestFit="1" customWidth="1"/>
    <col min="28" max="28" width="8.88671875" customWidth="1"/>
    <col min="29" max="32" width="6.88671875" bestFit="1" customWidth="1"/>
  </cols>
  <sheetData>
    <row r="1" spans="1:32" x14ac:dyDescent="0.25">
      <c r="A1" s="59" t="s">
        <v>77</v>
      </c>
      <c r="B1" s="121" t="s">
        <v>138</v>
      </c>
    </row>
    <row r="2" spans="1:32" x14ac:dyDescent="0.25">
      <c r="A2" s="59" t="s">
        <v>78</v>
      </c>
      <c r="B2" s="121" t="s">
        <v>139</v>
      </c>
    </row>
    <row r="3" spans="1:32" x14ac:dyDescent="0.25">
      <c r="A3" s="59" t="s">
        <v>79</v>
      </c>
      <c r="B3" s="85">
        <v>1</v>
      </c>
      <c r="C3" t="s">
        <v>80</v>
      </c>
      <c r="D3" s="61"/>
    </row>
    <row r="4" spans="1:32" x14ac:dyDescent="0.25">
      <c r="A4" s="59"/>
      <c r="B4" s="85"/>
      <c r="C4" s="61"/>
      <c r="D4" s="61"/>
    </row>
    <row r="5" spans="1:32" x14ac:dyDescent="0.25">
      <c r="A5" s="59" t="s">
        <v>95</v>
      </c>
      <c r="B5" s="85" t="s">
        <v>96</v>
      </c>
    </row>
    <row r="7" spans="1:32" x14ac:dyDescent="0.25">
      <c r="B7" s="61" t="s">
        <v>127</v>
      </c>
      <c r="C7">
        <v>1</v>
      </c>
      <c r="D7">
        <v>2</v>
      </c>
      <c r="E7">
        <v>3</v>
      </c>
      <c r="F7">
        <v>4</v>
      </c>
      <c r="G7">
        <v>5</v>
      </c>
      <c r="H7">
        <v>6</v>
      </c>
      <c r="I7">
        <v>7</v>
      </c>
      <c r="J7">
        <v>8</v>
      </c>
      <c r="K7">
        <v>9</v>
      </c>
      <c r="L7">
        <v>10</v>
      </c>
      <c r="M7">
        <v>11</v>
      </c>
      <c r="N7">
        <v>12</v>
      </c>
      <c r="O7">
        <v>13</v>
      </c>
      <c r="P7">
        <v>14</v>
      </c>
      <c r="Q7">
        <v>15</v>
      </c>
      <c r="R7">
        <v>16</v>
      </c>
      <c r="S7">
        <v>17</v>
      </c>
      <c r="T7">
        <v>18</v>
      </c>
      <c r="U7">
        <v>19</v>
      </c>
      <c r="V7">
        <v>20</v>
      </c>
      <c r="W7">
        <v>21</v>
      </c>
      <c r="X7">
        <v>22</v>
      </c>
      <c r="Y7">
        <v>23</v>
      </c>
      <c r="Z7">
        <v>24</v>
      </c>
      <c r="AA7">
        <v>25</v>
      </c>
      <c r="AB7">
        <v>26</v>
      </c>
      <c r="AC7">
        <v>27</v>
      </c>
      <c r="AD7">
        <v>28</v>
      </c>
      <c r="AE7">
        <v>29</v>
      </c>
      <c r="AF7">
        <v>30</v>
      </c>
    </row>
    <row r="8" spans="1:32" x14ac:dyDescent="0.25">
      <c r="B8" s="61" t="s">
        <v>94</v>
      </c>
      <c r="H8" s="125">
        <f>$E$21</f>
        <v>3500</v>
      </c>
      <c r="I8" s="125">
        <f t="shared" ref="I8:J8" si="0">$E$21</f>
        <v>3500</v>
      </c>
      <c r="J8" s="125">
        <f t="shared" si="0"/>
        <v>3500</v>
      </c>
      <c r="K8" s="125">
        <f>$E$22</f>
        <v>7500</v>
      </c>
      <c r="L8" s="125">
        <f>$E$22</f>
        <v>7500</v>
      </c>
      <c r="M8" s="125">
        <f>$E$23</f>
        <v>10000</v>
      </c>
      <c r="N8" s="125">
        <f t="shared" ref="N8:V8" si="1">$E$23</f>
        <v>10000</v>
      </c>
      <c r="O8" s="125">
        <f t="shared" si="1"/>
        <v>10000</v>
      </c>
      <c r="P8" s="125">
        <f t="shared" si="1"/>
        <v>10000</v>
      </c>
      <c r="Q8" s="125">
        <f t="shared" si="1"/>
        <v>10000</v>
      </c>
      <c r="R8" s="125">
        <f t="shared" si="1"/>
        <v>10000</v>
      </c>
      <c r="S8" s="125">
        <f t="shared" si="1"/>
        <v>10000</v>
      </c>
      <c r="T8" s="125">
        <f t="shared" si="1"/>
        <v>10000</v>
      </c>
      <c r="U8" s="125">
        <f t="shared" si="1"/>
        <v>10000</v>
      </c>
      <c r="V8" s="125">
        <f t="shared" si="1"/>
        <v>10000</v>
      </c>
      <c r="W8" s="125">
        <f>$E$24</f>
        <v>5000</v>
      </c>
      <c r="X8" s="125">
        <f t="shared" ref="X8:AF8" si="2">$E$24</f>
        <v>5000</v>
      </c>
      <c r="Y8" s="125">
        <f t="shared" si="2"/>
        <v>5000</v>
      </c>
      <c r="Z8" s="125">
        <f t="shared" si="2"/>
        <v>5000</v>
      </c>
      <c r="AA8" s="125">
        <f t="shared" si="2"/>
        <v>5000</v>
      </c>
      <c r="AB8" s="125">
        <f t="shared" si="2"/>
        <v>5000</v>
      </c>
      <c r="AC8" s="125">
        <f t="shared" si="2"/>
        <v>5000</v>
      </c>
      <c r="AD8" s="125">
        <f t="shared" si="2"/>
        <v>5000</v>
      </c>
      <c r="AE8" s="125">
        <f t="shared" si="2"/>
        <v>5000</v>
      </c>
      <c r="AF8" s="125">
        <f t="shared" si="2"/>
        <v>5000</v>
      </c>
    </row>
    <row r="9" spans="1:32" x14ac:dyDescent="0.25">
      <c r="B9" s="84"/>
    </row>
    <row r="11" spans="1:32" x14ac:dyDescent="0.25">
      <c r="B11" s="61"/>
    </row>
    <row r="12" spans="1:32" x14ac:dyDescent="0.25">
      <c r="C12" s="124" t="s">
        <v>152</v>
      </c>
      <c r="D12" s="121" t="s">
        <v>153</v>
      </c>
      <c r="E12" s="93">
        <f>25*5</f>
        <v>125</v>
      </c>
    </row>
    <row r="13" spans="1:32" x14ac:dyDescent="0.25">
      <c r="M13" t="s">
        <v>99</v>
      </c>
    </row>
    <row r="14" spans="1:32" ht="13.8" x14ac:dyDescent="0.3">
      <c r="C14" s="122" t="s">
        <v>154</v>
      </c>
      <c r="D14" s="122"/>
      <c r="E14" s="122"/>
      <c r="M14" t="s">
        <v>100</v>
      </c>
    </row>
    <row r="15" spans="1:32" ht="13.8" x14ac:dyDescent="0.3">
      <c r="C15" s="122" t="s">
        <v>142</v>
      </c>
      <c r="Y15" s="93"/>
    </row>
    <row r="16" spans="1:32" ht="13.8" x14ac:dyDescent="0.3">
      <c r="C16" s="122" t="s">
        <v>143</v>
      </c>
      <c r="D16" s="122"/>
      <c r="E16" s="122"/>
      <c r="M16" s="72"/>
      <c r="O16" s="72"/>
      <c r="Q16" s="72"/>
      <c r="S16" s="72"/>
      <c r="U16" s="72"/>
    </row>
    <row r="17" spans="3:29" ht="13.8" x14ac:dyDescent="0.3">
      <c r="C17" s="122" t="s">
        <v>144</v>
      </c>
      <c r="D17" s="122"/>
      <c r="E17" s="122"/>
      <c r="V17">
        <f>$Z$20</f>
        <v>10</v>
      </c>
      <c r="Y17" s="92"/>
      <c r="Z17" s="94"/>
    </row>
    <row r="18" spans="3:29" ht="14.4" thickBot="1" x14ac:dyDescent="0.35">
      <c r="C18" s="122" t="s">
        <v>145</v>
      </c>
      <c r="D18" s="122"/>
      <c r="E18" s="122"/>
      <c r="M18" s="72"/>
      <c r="O18" s="72"/>
      <c r="Q18" s="72"/>
      <c r="S18" s="72"/>
      <c r="U18" s="72"/>
      <c r="Z18" t="s">
        <v>101</v>
      </c>
    </row>
    <row r="19" spans="3:29" ht="13.8" x14ac:dyDescent="0.3">
      <c r="C19" s="122" t="s">
        <v>146</v>
      </c>
      <c r="V19">
        <f>$Z$20</f>
        <v>10</v>
      </c>
      <c r="Y19" s="107" t="s">
        <v>116</v>
      </c>
      <c r="Z19" s="108"/>
      <c r="AA19" s="109" t="s">
        <v>120</v>
      </c>
      <c r="AB19" s="108"/>
      <c r="AC19" s="110"/>
    </row>
    <row r="20" spans="3:29" ht="13.8" x14ac:dyDescent="0.3">
      <c r="C20" s="122" t="s">
        <v>155</v>
      </c>
      <c r="M20" s="72"/>
      <c r="O20" s="72"/>
      <c r="Q20" s="72"/>
      <c r="S20" s="72"/>
      <c r="U20" s="72"/>
      <c r="Y20" s="100" t="s">
        <v>117</v>
      </c>
      <c r="Z20" s="62">
        <v>10</v>
      </c>
      <c r="AA20" s="62">
        <v>30</v>
      </c>
      <c r="AB20" s="62">
        <f>Z20*AA20</f>
        <v>300</v>
      </c>
      <c r="AC20" s="101"/>
    </row>
    <row r="21" spans="3:29" ht="13.8" x14ac:dyDescent="0.3">
      <c r="C21" s="122" t="s">
        <v>148</v>
      </c>
      <c r="D21" s="122"/>
      <c r="E21" s="123">
        <f>7*4*E12</f>
        <v>3500</v>
      </c>
      <c r="V21">
        <f>$Z$20</f>
        <v>10</v>
      </c>
      <c r="Y21" s="100" t="s">
        <v>118</v>
      </c>
      <c r="Z21" s="62">
        <v>10</v>
      </c>
      <c r="AA21" s="62">
        <v>5</v>
      </c>
      <c r="AB21" s="62">
        <f>Z21*AA21</f>
        <v>50</v>
      </c>
      <c r="AC21" s="101"/>
    </row>
    <row r="22" spans="3:29" ht="13.8" x14ac:dyDescent="0.3">
      <c r="C22" s="122" t="s">
        <v>149</v>
      </c>
      <c r="D22" s="122"/>
      <c r="E22" s="123">
        <f>4*15*E12</f>
        <v>7500</v>
      </c>
      <c r="M22" s="72"/>
      <c r="O22" s="72"/>
      <c r="Q22" s="72"/>
      <c r="S22" s="72"/>
      <c r="U22" s="72"/>
      <c r="Y22" s="102"/>
      <c r="Z22" s="63" t="s">
        <v>126</v>
      </c>
      <c r="AA22" s="63"/>
      <c r="AB22" s="62">
        <f>AB21*AB20</f>
        <v>15000</v>
      </c>
      <c r="AC22" s="103" t="s">
        <v>119</v>
      </c>
    </row>
    <row r="23" spans="3:29" ht="14.4" thickBot="1" x14ac:dyDescent="0.35">
      <c r="C23" s="122" t="s">
        <v>150</v>
      </c>
      <c r="E23" s="123">
        <f>4*20*E12</f>
        <v>10000</v>
      </c>
      <c r="V23">
        <f>$Z$20</f>
        <v>10</v>
      </c>
      <c r="Y23" s="104"/>
      <c r="Z23" s="105"/>
      <c r="AA23" s="105"/>
      <c r="AB23" s="105">
        <f>AB22/10000</f>
        <v>1.5</v>
      </c>
      <c r="AC23" s="106" t="s">
        <v>80</v>
      </c>
    </row>
    <row r="24" spans="3:29" ht="13.8" x14ac:dyDescent="0.3">
      <c r="C24" s="122" t="s">
        <v>151</v>
      </c>
      <c r="E24" s="123">
        <f>4*10*E12</f>
        <v>5000</v>
      </c>
      <c r="M24" s="72"/>
      <c r="O24" s="72"/>
      <c r="Q24" s="72"/>
      <c r="S24" s="72"/>
      <c r="U24" s="72"/>
    </row>
    <row r="25" spans="3:29" x14ac:dyDescent="0.25">
      <c r="V25">
        <f>$Z$20</f>
        <v>10</v>
      </c>
    </row>
    <row r="26" spans="3:29" x14ac:dyDescent="0.25">
      <c r="M26" s="72"/>
      <c r="O26" s="72"/>
      <c r="Q26" s="72"/>
      <c r="S26" s="72"/>
      <c r="U26" s="72"/>
    </row>
    <row r="27" spans="3:29" x14ac:dyDescent="0.25">
      <c r="V27">
        <f>$Z$20</f>
        <v>10</v>
      </c>
    </row>
    <row r="28" spans="3:29" x14ac:dyDescent="0.25">
      <c r="M28" s="72"/>
      <c r="O28" s="72"/>
      <c r="Q28" s="72"/>
      <c r="S28" s="72"/>
      <c r="U28" s="72"/>
      <c r="X28" s="121" t="s">
        <v>136</v>
      </c>
      <c r="Y28">
        <f>10000/(9*9)</f>
        <v>123.45679012345678</v>
      </c>
    </row>
    <row r="29" spans="3:29" x14ac:dyDescent="0.25">
      <c r="V29">
        <f>$Z$20</f>
        <v>10</v>
      </c>
      <c r="X29" s="121" t="s">
        <v>137</v>
      </c>
      <c r="Y29">
        <f>6000*65</f>
        <v>390000</v>
      </c>
      <c r="AA29">
        <f>Y29/60000</f>
        <v>6.5</v>
      </c>
    </row>
    <row r="30" spans="3:29" x14ac:dyDescent="0.25">
      <c r="M30" s="72"/>
      <c r="O30" s="72"/>
      <c r="Q30" s="72"/>
      <c r="S30" s="72"/>
      <c r="U30" s="72"/>
    </row>
    <row r="31" spans="3:29" x14ac:dyDescent="0.25">
      <c r="V31">
        <f>$Z$20</f>
        <v>10</v>
      </c>
    </row>
    <row r="32" spans="3:29" x14ac:dyDescent="0.25">
      <c r="M32" s="72"/>
      <c r="O32" s="72"/>
      <c r="Q32" s="72"/>
      <c r="S32" s="72"/>
      <c r="U32" s="72"/>
    </row>
    <row r="33" spans="13:22" x14ac:dyDescent="0.25">
      <c r="V33">
        <f>$Z$20</f>
        <v>10</v>
      </c>
    </row>
    <row r="34" spans="13:22" x14ac:dyDescent="0.25">
      <c r="M34" s="72"/>
      <c r="O34" s="72"/>
      <c r="Q34" s="72"/>
      <c r="S34" s="72"/>
      <c r="U34" s="72"/>
    </row>
    <row r="35" spans="13:22" x14ac:dyDescent="0.25">
      <c r="V35">
        <f>$Z$20</f>
        <v>10</v>
      </c>
    </row>
    <row r="36" spans="13:22" x14ac:dyDescent="0.25">
      <c r="M36" s="72"/>
      <c r="O36" s="72"/>
      <c r="Q36" s="72"/>
      <c r="S36" s="72"/>
      <c r="U36" s="72"/>
    </row>
    <row r="37" spans="13:22" x14ac:dyDescent="0.25">
      <c r="V37">
        <f>$Z$20</f>
        <v>10</v>
      </c>
    </row>
    <row r="38" spans="13:22" x14ac:dyDescent="0.25">
      <c r="M38" s="72"/>
      <c r="O38" s="72"/>
      <c r="Q38" s="72"/>
      <c r="S38" s="72"/>
      <c r="U38" s="72"/>
    </row>
    <row r="39" spans="13:22" x14ac:dyDescent="0.25">
      <c r="V39">
        <f>$Z$20</f>
        <v>10</v>
      </c>
    </row>
    <row r="40" spans="13:22" x14ac:dyDescent="0.25">
      <c r="M40" s="72"/>
      <c r="O40" s="72"/>
      <c r="Q40" s="72"/>
      <c r="S40" s="72"/>
      <c r="U40" s="72"/>
    </row>
    <row r="41" spans="13:22" x14ac:dyDescent="0.25">
      <c r="V41">
        <f>$Z$20</f>
        <v>10</v>
      </c>
    </row>
    <row r="42" spans="13:22" x14ac:dyDescent="0.25">
      <c r="M42" s="72"/>
      <c r="O42" s="72"/>
      <c r="Q42" s="72"/>
      <c r="S42" s="72"/>
      <c r="U42" s="72"/>
    </row>
    <row r="44" spans="13:22" x14ac:dyDescent="0.25">
      <c r="N44">
        <f>$Z$21</f>
        <v>10</v>
      </c>
      <c r="P44">
        <f>$Z$21</f>
        <v>10</v>
      </c>
      <c r="R44">
        <f>$Z$21</f>
        <v>10</v>
      </c>
      <c r="T44">
        <f>$Z$21</f>
        <v>10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9:F21"/>
  <sheetViews>
    <sheetView topLeftCell="A13" workbookViewId="0">
      <selection activeCell="L19" sqref="L19"/>
    </sheetView>
  </sheetViews>
  <sheetFormatPr defaultRowHeight="13.2" x14ac:dyDescent="0.25"/>
  <sheetData>
    <row r="9" spans="4:6" x14ac:dyDescent="0.25">
      <c r="D9" s="124" t="s">
        <v>152</v>
      </c>
      <c r="E9" s="121" t="s">
        <v>153</v>
      </c>
      <c r="F9" s="93">
        <f>25*5</f>
        <v>125</v>
      </c>
    </row>
    <row r="11" spans="4:6" ht="13.8" x14ac:dyDescent="0.3">
      <c r="D11" s="122" t="s">
        <v>141</v>
      </c>
      <c r="E11" s="122"/>
      <c r="F11" s="122"/>
    </row>
    <row r="12" spans="4:6" ht="13.8" x14ac:dyDescent="0.3">
      <c r="D12" s="122" t="s">
        <v>142</v>
      </c>
    </row>
    <row r="13" spans="4:6" ht="13.8" x14ac:dyDescent="0.3">
      <c r="D13" s="122" t="s">
        <v>143</v>
      </c>
      <c r="E13" s="122"/>
      <c r="F13" s="122"/>
    </row>
    <row r="14" spans="4:6" ht="13.8" x14ac:dyDescent="0.3">
      <c r="D14" s="122" t="s">
        <v>144</v>
      </c>
      <c r="E14" s="122"/>
      <c r="F14" s="122"/>
    </row>
    <row r="15" spans="4:6" ht="13.8" x14ac:dyDescent="0.3">
      <c r="D15" s="122" t="s">
        <v>145</v>
      </c>
      <c r="E15" s="122"/>
      <c r="F15" s="122"/>
    </row>
    <row r="16" spans="4:6" ht="13.8" x14ac:dyDescent="0.3">
      <c r="D16" s="122" t="s">
        <v>146</v>
      </c>
    </row>
    <row r="17" spans="4:6" ht="13.8" x14ac:dyDescent="0.3">
      <c r="D17" s="122" t="s">
        <v>147</v>
      </c>
    </row>
    <row r="18" spans="4:6" ht="13.8" x14ac:dyDescent="0.3">
      <c r="D18" s="122" t="s">
        <v>148</v>
      </c>
      <c r="E18" s="122"/>
      <c r="F18" s="123">
        <f>7*4*F9</f>
        <v>3500</v>
      </c>
    </row>
    <row r="19" spans="4:6" ht="13.8" x14ac:dyDescent="0.3">
      <c r="D19" s="122" t="s">
        <v>149</v>
      </c>
      <c r="E19" s="122"/>
      <c r="F19" s="123">
        <f>4*10*F9</f>
        <v>5000</v>
      </c>
    </row>
    <row r="20" spans="4:6" ht="13.8" x14ac:dyDescent="0.3">
      <c r="D20" s="122" t="s">
        <v>150</v>
      </c>
      <c r="F20" s="123">
        <f>4*20*F9</f>
        <v>10000</v>
      </c>
    </row>
    <row r="21" spans="4:6" ht="13.8" x14ac:dyDescent="0.3">
      <c r="D21" s="122" t="s">
        <v>151</v>
      </c>
      <c r="F21" s="123">
        <f>4*15*F9</f>
        <v>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Summary</vt:lpstr>
      <vt:lpstr>Tabel Harga</vt:lpstr>
      <vt:lpstr>price.in</vt:lpstr>
      <vt:lpstr>price.out</vt:lpstr>
      <vt:lpstr>Tabel Input-Output</vt:lpstr>
      <vt:lpstr>io.in</vt:lpstr>
      <vt:lpstr>io.out</vt:lpstr>
      <vt:lpstr>FarmBudget Privat</vt:lpstr>
      <vt:lpstr>FarmBudget Sosial</vt:lpstr>
      <vt:lpstr>FieldData</vt:lpstr>
      <vt:lpstr>Sheet1</vt:lpstr>
      <vt:lpstr>nilai_tukar</vt:lpstr>
      <vt:lpstr>rate_private</vt:lpstr>
      <vt:lpstr>rate_social</vt:lpstr>
    </vt:vector>
  </TitlesOfParts>
  <Company>ICRAF Southeast Asian Research Programme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Suseno Budidarsono</dc:creator>
  <cp:lastModifiedBy>dewikiswani</cp:lastModifiedBy>
  <cp:lastPrinted>2003-01-02T03:16:49Z</cp:lastPrinted>
  <dcterms:created xsi:type="dcterms:W3CDTF">2001-08-01T08:55:37Z</dcterms:created>
  <dcterms:modified xsi:type="dcterms:W3CDTF">2020-02-14T06:43:56Z</dcterms:modified>
</cp:coreProperties>
</file>